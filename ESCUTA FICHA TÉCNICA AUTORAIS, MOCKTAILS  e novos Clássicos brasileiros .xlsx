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8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84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87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81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82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ades e Porcionamento" sheetId="1" r:id="rId5"/>
    <sheet state="visible" name="Cópia de Validades e Porcioname" sheetId="2" r:id="rId6"/>
    <sheet state="visible" name="Bloody Mary" sheetId="3" r:id="rId7"/>
    <sheet state="visible" name="Bitter Giuseppe " sheetId="4" r:id="rId8"/>
    <sheet state="visible" name="Dry Martini " sheetId="5" r:id="rId9"/>
    <sheet state="visible" name="Dirty Martini " sheetId="6" r:id="rId10"/>
    <sheet state="visible" name="Amaretto Sour" sheetId="7" r:id="rId11"/>
    <sheet state="visible" name="Pisco sour." sheetId="8" r:id="rId12"/>
    <sheet state="visible" name="Old Cuban" sheetId="9" r:id="rId13"/>
    <sheet state="visible" name="Espresso Martini" sheetId="10" r:id="rId14"/>
    <sheet state="visible" name="Paperplane." sheetId="11" r:id="rId15"/>
    <sheet state="visible" name="Sidecar." sheetId="12" r:id="rId16"/>
    <sheet state="visible" name="Mark Twain." sheetId="13" r:id="rId17"/>
    <sheet state="visible" name="Fitzgerald." sheetId="14" r:id="rId18"/>
    <sheet state="visible" name="Gold Rush." sheetId="15" r:id="rId19"/>
    <sheet state="visible" name="Cosmopolitan." sheetId="16" r:id="rId20"/>
    <sheet state="visible" name="Vermute Tônica." sheetId="17" r:id="rId21"/>
    <sheet state="visible" name="Cópia de 01 17" sheetId="18" r:id="rId22"/>
    <sheet state="visible" name="Cópia de 01 16" sheetId="19" r:id="rId23"/>
    <sheet state="visible" name="Cópia de 01 15" sheetId="20" r:id="rId24"/>
    <sheet state="visible" name="Cópia de 01 14" sheetId="21" r:id="rId25"/>
    <sheet state="visible" name="Cópia de 01 13" sheetId="22" r:id="rId26"/>
    <sheet state="visible" name="Cópia de 01 12" sheetId="23" r:id="rId27"/>
    <sheet state="visible" name="Cópia de 01 11" sheetId="24" r:id="rId28"/>
    <sheet state="visible" name="Cópia de 01 10" sheetId="25" r:id="rId29"/>
    <sheet state="visible" name="Cópia de 01 9" sheetId="26" r:id="rId30"/>
    <sheet state="visible" name="Cópia de 01 8" sheetId="27" r:id="rId31"/>
    <sheet state="visible" name="Cópia de 01 7" sheetId="28" r:id="rId32"/>
    <sheet state="visible" name="Cópia de 01 6" sheetId="29" r:id="rId33"/>
    <sheet state="visible" name="Cópia de 01 5" sheetId="30" r:id="rId34"/>
    <sheet state="visible" name="Cópia de 01 4" sheetId="31" r:id="rId35"/>
    <sheet state="visible" name="Cópia de 01 3" sheetId="32" r:id="rId36"/>
    <sheet state="visible" name="Cópia de 01 2" sheetId="33" r:id="rId37"/>
    <sheet state="visible" name="Cópia de 01 1" sheetId="34" r:id="rId38"/>
    <sheet state="visible" name="Autoral 1 " sheetId="35" r:id="rId39"/>
    <sheet state="visible" name="Autoral 2 " sheetId="36" r:id="rId40"/>
    <sheet state="visible" name="Autoral 3 " sheetId="37" r:id="rId41"/>
    <sheet state="visible" name="Autoral 4 " sheetId="38" r:id="rId42"/>
    <sheet state="visible" name="Autoral 5" sheetId="39" r:id="rId43"/>
    <sheet state="visible" name="Autoral 6 " sheetId="40" r:id="rId44"/>
    <sheet state="visible" name="Pisco Sour" sheetId="41" r:id="rId45"/>
    <sheet state="visible" name="Old Cuban " sheetId="42" r:id="rId46"/>
    <sheet state="visible" name="Espresso Martini " sheetId="43" r:id="rId47"/>
    <sheet state="visible" name="Paperplane" sheetId="44" r:id="rId48"/>
    <sheet state="visible" name="Sidecar" sheetId="45" r:id="rId49"/>
    <sheet state="visible" name="Mark Twain" sheetId="46" r:id="rId50"/>
    <sheet state="visible" name="Fitzgerald" sheetId="47" r:id="rId51"/>
    <sheet state="visible" name="Gold Rush" sheetId="48" r:id="rId52"/>
    <sheet state="visible" name="Cosmopolitan" sheetId="49" r:id="rId53"/>
    <sheet state="visible" name="Vermute Tônica " sheetId="50" r:id="rId54"/>
    <sheet state="visible" name="Chancha " sheetId="51" r:id="rId55"/>
    <sheet state="visible" name="Penicillin " sheetId="52" r:id="rId56"/>
    <sheet state="visible" name="Carajillo" sheetId="53" r:id="rId57"/>
    <sheet state="visible" name="Hugo Spritz" sheetId="54" r:id="rId58"/>
    <sheet state="visible" name="Mojito" sheetId="55" r:id="rId59"/>
    <sheet state="visible" name="Daiquiri" sheetId="56" r:id="rId60"/>
    <sheet state="visible" name="Whisky Highball" sheetId="57" r:id="rId61"/>
    <sheet state="visible" name="Tom collins" sheetId="58" r:id="rId62"/>
    <sheet state="visible" name="Gin Tônica" sheetId="59" r:id="rId63"/>
    <sheet state="visible" name="Aperol Spritz" sheetId="60" r:id="rId64"/>
    <sheet state="visible" name="Paloma" sheetId="61" r:id="rId65"/>
    <sheet state="visible" name="Basil Smash" sheetId="62" r:id="rId66"/>
    <sheet state="visible" name="Cuba Libre" sheetId="63" r:id="rId67"/>
    <sheet state="visible" name="Old Fashioned" sheetId="64" r:id="rId68"/>
    <sheet state="visible" name="Jorge Amado" sheetId="65" r:id="rId69"/>
    <sheet state="visible" name="Banzeiroo" sheetId="66" r:id="rId70"/>
    <sheet state="visible" name="Godfather" sheetId="67" r:id="rId71"/>
    <sheet state="visible" name="Margarita" sheetId="68" r:id="rId72"/>
    <sheet state="visible" name="Negroni" sheetId="69" r:id="rId73"/>
    <sheet state="visible" name="Kingston" sheetId="70" r:id="rId74"/>
    <sheet state="visible" name="Campari tônica" sheetId="71" r:id="rId75"/>
    <sheet state="visible" name="Tupi or not" sheetId="72" r:id="rId76"/>
    <sheet state="visible" name="3000 Liras" sheetId="73" r:id="rId77"/>
    <sheet state="visible" name="Milestones" sheetId="74" r:id="rId78"/>
    <sheet state="visible" name="Modelo" sheetId="75" r:id="rId79"/>
    <sheet state="visible" name="Cópia de Modelo" sheetId="76" r:id="rId80"/>
    <sheet state="visible" name="Jorge Amado " sheetId="77" r:id="rId81"/>
    <sheet state="visible" name="Caju Amigo " sheetId="78" r:id="rId82"/>
    <sheet state="visible" name="Banzeiro " sheetId="79" r:id="rId83"/>
    <sheet state="visible" name="Meu sabiá " sheetId="80" r:id="rId84"/>
    <sheet state="visible" name="Chá de hibisco " sheetId="81" r:id="rId85"/>
    <sheet state="visible" name="Chá de capim limão " sheetId="82" r:id="rId86"/>
    <sheet state="visible" name="Mate da casa " sheetId="83" r:id="rId87"/>
    <sheet state="visible" name="Cópia de Cópia de Cópia de Cópi" sheetId="84" r:id="rId88"/>
    <sheet state="visible" name="Página5" sheetId="85" r:id="rId89"/>
    <sheet state="visible" name="Custo " sheetId="86" r:id="rId90"/>
    <sheet state="visible" name="Destilados" sheetId="87" r:id="rId91"/>
    <sheet state="visible" name="Clássicos do Meza" sheetId="88" r:id="rId92"/>
    <sheet state="visible" name="Planilha de destilados" sheetId="89" r:id="rId93"/>
  </sheets>
  <definedNames/>
  <calcPr/>
</workbook>
</file>

<file path=xl/sharedStrings.xml><?xml version="1.0" encoding="utf-8"?>
<sst xmlns="http://schemas.openxmlformats.org/spreadsheetml/2006/main" count="4500" uniqueCount="1144">
  <si>
    <t xml:space="preserve">Validade e Porcionamento </t>
  </si>
  <si>
    <t>Bitter Giuseppe</t>
  </si>
  <si>
    <t>#VALUE!</t>
  </si>
  <si>
    <t xml:space="preserve">Bloody Mary </t>
  </si>
  <si>
    <t>Data de atualização:</t>
  </si>
  <si>
    <t xml:space="preserve">Categoria: Salgado, condimentdo e refrescante </t>
  </si>
  <si>
    <t xml:space="preserve">Guarnição: A ESCOLHER </t>
  </si>
  <si>
    <t>Categoria: Herbal, amargo e vinico</t>
  </si>
  <si>
    <t>Modalidade: Trowhing</t>
  </si>
  <si>
    <t>Guarnição: Zest de limão siciliano ou azeitona</t>
  </si>
  <si>
    <t xml:space="preserve">Copo: Long Drink </t>
  </si>
  <si>
    <t xml:space="preserve">Produto </t>
  </si>
  <si>
    <t>Ingredientes</t>
  </si>
  <si>
    <t>Kg/L</t>
  </si>
  <si>
    <t>Modalidade: Mexido</t>
  </si>
  <si>
    <t xml:space="preserve">Aonde </t>
  </si>
  <si>
    <t>Qtd. Liquida</t>
  </si>
  <si>
    <t xml:space="preserve">Validade congelado </t>
  </si>
  <si>
    <t xml:space="preserve">Rrefrigerado </t>
  </si>
  <si>
    <t>Observações</t>
  </si>
  <si>
    <t>Und.</t>
  </si>
  <si>
    <t xml:space="preserve">Copo: Taça Coupe </t>
  </si>
  <si>
    <t xml:space="preserve">Observação </t>
  </si>
  <si>
    <t>Absolut tabasco</t>
  </si>
  <si>
    <r>
      <rPr>
        <rFont val="Aptos Narrow"/>
        <b/>
        <color theme="1"/>
        <sz val="11.0"/>
      </rPr>
      <t>1 -</t>
    </r>
    <r>
      <rPr>
        <rFont val="Aptos Narrow"/>
        <color theme="1"/>
        <sz val="11.0"/>
      </rPr>
      <t xml:space="preserve"> Adicione gelo no Mixing glass, resfrie e coe </t>
    </r>
  </si>
  <si>
    <t>ml</t>
  </si>
  <si>
    <r>
      <rPr>
        <rFont val="Aptos Narrow"/>
        <b/>
        <color theme="1"/>
        <sz val="11.0"/>
      </rPr>
      <t>2 -</t>
    </r>
    <r>
      <rPr>
        <rFont val="Aptos Narrow"/>
        <color theme="1"/>
        <sz val="11.0"/>
      </rPr>
      <t xml:space="preserve"> Adicione todos os ingredientes e mexa por 10 segundos </t>
    </r>
  </si>
  <si>
    <r>
      <rPr>
        <rFont val="Aptos Narrow"/>
        <b/>
        <color theme="1"/>
        <sz val="11.0"/>
      </rPr>
      <t xml:space="preserve">3 </t>
    </r>
    <r>
      <rPr>
        <rFont val="Aptos Narrow"/>
        <color theme="1"/>
        <sz val="11.0"/>
      </rPr>
      <t>- Faça a filtragem com auxilio o strainer em uma taça previamente resfriada</t>
    </r>
  </si>
  <si>
    <t>Sumo de limão tahiti</t>
  </si>
  <si>
    <r>
      <rPr>
        <rFont val="Aptos Narrow"/>
        <b/>
        <color theme="1"/>
        <sz val="11.0"/>
      </rPr>
      <t>4 -</t>
    </r>
    <r>
      <rPr>
        <rFont val="Aptos Narrow"/>
        <color theme="1"/>
        <sz val="11.0"/>
      </rPr>
      <t xml:space="preserve"> Finalize com um zest de limão siciliano ou azeitona no palito</t>
    </r>
  </si>
  <si>
    <t xml:space="preserve">Aperitivo Cynar </t>
  </si>
  <si>
    <t xml:space="preserve">Salsa da casa </t>
  </si>
  <si>
    <r>
      <rPr>
        <rFont val="Aptos Narrow"/>
        <b/>
        <color theme="1"/>
        <sz val="11.0"/>
      </rPr>
      <t>1 -</t>
    </r>
    <r>
      <rPr>
        <rFont val="Aptos Narrow"/>
        <color theme="1"/>
        <sz val="11.0"/>
      </rPr>
      <t xml:space="preserve"> Adicione gelo no Mixing glass, resfrie e coe </t>
    </r>
  </si>
  <si>
    <t xml:space="preserve">Suco de tomate </t>
  </si>
  <si>
    <r>
      <rPr>
        <rFont val="Aptos Narrow"/>
        <b/>
        <color theme="1"/>
        <sz val="11.0"/>
      </rPr>
      <t>2 -</t>
    </r>
    <r>
      <rPr>
        <rFont val="Aptos Narrow"/>
        <color theme="1"/>
        <sz val="11.0"/>
      </rPr>
      <t xml:space="preserve"> Adicione todos os ingredientes e mexa por 10 segundos </t>
    </r>
  </si>
  <si>
    <r>
      <rPr>
        <rFont val="Aptos Narrow"/>
        <b/>
        <color theme="1"/>
        <sz val="11.0"/>
      </rPr>
      <t xml:space="preserve">3 </t>
    </r>
    <r>
      <rPr>
        <rFont val="Aptos Narrow"/>
        <color theme="1"/>
        <sz val="11.0"/>
      </rPr>
      <t>- Faça a filtragem com auxilio o strainer em uma taça previamente resfriada</t>
    </r>
  </si>
  <si>
    <r>
      <rPr>
        <rFont val="Aptos Narrow"/>
        <b/>
        <color theme="1"/>
        <sz val="11.0"/>
      </rPr>
      <t>4 -</t>
    </r>
    <r>
      <rPr>
        <rFont val="Aptos Narrow"/>
        <color theme="1"/>
        <sz val="11.0"/>
      </rPr>
      <t xml:space="preserve"> Finalize com um zest de limão siciliano ou azeitona no palito</t>
    </r>
  </si>
  <si>
    <t xml:space="preserve">Vermute Carpano rosso </t>
  </si>
  <si>
    <t xml:space="preserve">Instruções de montagem 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</si>
  <si>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Adicione gelo no Mixing glass, resfrie e coe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</si>
  <si>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Adicione todos os ingredientes e mexa por 10 segundos </t>
    </r>
  </si>
  <si>
    <t>Sumo de limão siciliano</t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</si>
  <si>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Faça a filtragem com auxilio o strainer em uma taça previamente resfriada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</si>
  <si>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Finalize com um zest de limão siciliano ou azeitona no palito</t>
    </r>
  </si>
  <si>
    <t>Orange bitters</t>
  </si>
  <si>
    <t>dash</t>
  </si>
  <si>
    <r>
      <rPr>
        <rFont val="Arial"/>
        <b/>
        <color theme="1"/>
      </rPr>
      <t>1-</t>
    </r>
    <r>
      <rPr>
        <rFont val="Arial"/>
        <color theme="1"/>
      </rPr>
      <t xml:space="preserve"> Resfrie previamente um copo on the rockS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</si>
  <si>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Em uma coqueteleira, adicione todos os ingredientes</t>
    </r>
  </si>
  <si>
    <t>Instruções de montagem:</t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</si>
  <si>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Dry Shake Bata vigorosamente sem gelo por 15 a 20 segundos. Essa etapa promove a desnaturação das proteínas da clara/albumina, formando uma espuma fina e estável.</t>
    </r>
  </si>
  <si>
    <r>
      <rPr>
        <rFont val="Aptos Narrow"/>
        <b/>
        <color theme="1"/>
        <sz val="11.0"/>
      </rPr>
      <t>1 -</t>
    </r>
    <r>
      <rPr>
        <rFont val="Aptos Narrow"/>
        <color theme="1"/>
        <sz val="11.0"/>
      </rPr>
      <t xml:space="preserve"> Adicione gelo no Mixing glass, resfrie e coe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</si>
  <si>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Adicione gelo sólido de boa qualidade até preencher aproximadamente ⅔ da coqueteleira.</t>
    </r>
  </si>
  <si>
    <t>Bata  por 8 a 10 segundos, buscando simultaneamente refrigeração, diluição e emulsão.</t>
  </si>
  <si>
    <r>
      <rPr>
        <rFont val="Aptos Narrow"/>
        <b/>
        <color theme="1"/>
        <sz val="11.0"/>
      </rPr>
      <t>2 -</t>
    </r>
    <r>
      <rPr>
        <rFont val="Aptos Narrow"/>
        <color theme="1"/>
        <sz val="11.0"/>
      </rPr>
      <t xml:space="preserve"> Adicione todos os ingredientes e mexa por 10 segundos </t>
    </r>
  </si>
  <si>
    <r>
      <rPr>
        <rFont val="Arial"/>
        <b/>
        <color rgb="FF000000"/>
        <sz val="11.0"/>
      </rPr>
      <t>6-</t>
    </r>
    <r>
      <rPr>
        <rFont val="Arial"/>
        <color rgb="FF000000"/>
        <sz val="11.0"/>
      </rPr>
      <t xml:space="preserve"> faça double strain (coador Hawthorne + peneira fina) sobre o gelo. Isso elimina pequenos cristais e resíduos de clara, proporcionando uma textura mais limpa.</t>
    </r>
  </si>
  <si>
    <t>Não perecível</t>
  </si>
  <si>
    <r>
      <rPr>
        <rFont val="Aptos Narrow"/>
        <b/>
        <color theme="1"/>
        <sz val="11.0"/>
      </rPr>
      <t xml:space="preserve">3 </t>
    </r>
    <r>
      <rPr>
        <rFont val="Aptos Narrow"/>
        <color theme="1"/>
        <sz val="11.0"/>
      </rPr>
      <t>- Faça a filtragem com auxilio o strainer em uma taça previamente resfriada</t>
    </r>
  </si>
  <si>
    <r>
      <t xml:space="preserve">7- </t>
    </r>
    <r>
      <rPr>
        <rFont val="Arial"/>
        <b val="0"/>
        <color rgb="FF000000"/>
      </rPr>
      <t>Aguarde 20 a 30 segundos para estabilização da espuma.</t>
    </r>
  </si>
  <si>
    <t>L</t>
  </si>
  <si>
    <r>
      <rPr>
        <rFont val="Aptos Narrow"/>
        <b/>
        <color theme="1"/>
        <sz val="11.0"/>
      </rPr>
      <t>4 -</t>
    </r>
    <r>
      <rPr>
        <rFont val="Aptos Narrow"/>
        <color theme="1"/>
        <sz val="11.0"/>
      </rPr>
      <t xml:space="preserve"> Finalize com um zest de limão siciliano ou azeitona no palito</t>
    </r>
  </si>
  <si>
    <t>kg</t>
  </si>
  <si>
    <r>
      <rPr>
        <rFont val="Arial"/>
        <b/>
        <color rgb="FF000000"/>
      </rPr>
      <t>8-</t>
    </r>
    <r>
      <rPr>
        <rFont val="Arial"/>
        <color rgb="FF000000"/>
      </rPr>
      <t xml:space="preserve"> expresse óleos essenciais de limão siciliano sobre o copo  e bordas.</t>
    </r>
  </si>
  <si>
    <t>Rendimento:</t>
  </si>
  <si>
    <t xml:space="preserve">L </t>
  </si>
  <si>
    <t>Modo de preparo: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</si>
  <si>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Resfrie previamente uma taça Nick &amp; Nora ou Coupe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</si>
  <si>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Em uma coqueteleira, adicione: Pisco, Suco de limão-taiti fresco, Xarope simples, Clara de ovo ou albumina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</si>
  <si>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  <r>
      <rPr>
        <rFont val="Aptos Narrow"/>
        <b/>
        <color theme="1"/>
        <sz val="11.0"/>
      </rPr>
      <t>Dry Shake:</t>
    </r>
    <r>
      <rPr>
        <rFont val="Aptos Narrow"/>
        <color theme="1"/>
        <sz val="11.0"/>
      </rPr>
      <t xml:space="preserve"> Bata vigorosamente sem gelo por 15 a 20 segundos, promovendo uma emulsão uniforme e uma espuma densa.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</si>
  <si>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Adicione gelo sólido de boa qualidade até preencher aproximadamente ⅔ da coqueteleira.</t>
    </r>
  </si>
  <si>
    <r>
      <t>5-</t>
    </r>
    <r>
      <rPr>
        <rFont val="Arial"/>
        <b val="0"/>
        <color rgb="FF000000"/>
      </rPr>
      <t xml:space="preserve"> </t>
    </r>
    <r>
      <rPr>
        <rFont val="Arial"/>
        <b/>
        <color rgb="FF000000"/>
      </rPr>
      <t xml:space="preserve">Wet Shake: </t>
    </r>
    <r>
      <rPr>
        <rFont val="Arial"/>
        <b val="0"/>
        <color rgb="FF000000"/>
      </rPr>
      <t>Bata por 10 a 12 segundos, buscando uma diluição de aproximadamente 18–22%.</t>
    </r>
  </si>
  <si>
    <r>
      <t xml:space="preserve">6- </t>
    </r>
    <r>
      <rPr>
        <rFont val="Arial"/>
        <b val="0"/>
        <color rgb="FF000000"/>
      </rPr>
      <t>faça double strain (coador Hawthorne + peneira fina) sobre o gelo. Isso elimina pequenos cristais e resíduos de clara, proporcionando uma textura mais limpa</t>
    </r>
    <r>
      <rPr>
        <rFont val="Arial"/>
        <b/>
        <color rgb="FF000000"/>
      </rPr>
      <t>.</t>
    </r>
  </si>
  <si>
    <r>
      <t xml:space="preserve">7- </t>
    </r>
    <r>
      <rPr>
        <rFont val="Arial"/>
        <b val="0"/>
        <color rgb="FF000000"/>
      </rPr>
      <t>Aguarde 20 a 30 segundos para estabilização da espuma.</t>
    </r>
  </si>
  <si>
    <r>
      <t xml:space="preserve">8- </t>
    </r>
    <r>
      <rPr>
        <rFont val="Arial"/>
        <b val="0"/>
        <color rgb="FF000000"/>
      </rPr>
      <t>Finalize com 3 gotas de angostura sobre a espuma e expresse óleos essenciais de limão siciliano sobre o copo</t>
    </r>
    <r>
      <rPr>
        <rFont val="Arial"/>
        <b/>
        <color rgb="FF000000"/>
      </rPr>
      <t xml:space="preserve">  e bordas.</t>
    </r>
  </si>
  <si>
    <t>Na coqueteleira, adicione:</t>
  </si>
  <si>
    <t>KG</t>
  </si>
  <si>
    <t xml:space="preserve">Modo de preparo: </t>
  </si>
  <si>
    <t xml:space="preserve">O efeito dura por 2 horas </t>
  </si>
  <si>
    <t>Dry Martini</t>
  </si>
  <si>
    <t>Categoria: Seco, elegante</t>
  </si>
  <si>
    <t>Guarnição: Zest siciliano ou azeitona</t>
  </si>
  <si>
    <t>Copo: Taça nick and nora</t>
  </si>
  <si>
    <t>Beefeater Gin</t>
  </si>
  <si>
    <t>Vermute seco Nolly Prat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</si>
  <si>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Adicione gelo no Mixing glass, resfrie e coe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</si>
  <si>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Adicione todos os ingredientes e mexa por 10 segundos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</si>
  <si>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Faça a filtragem com auxilio o strainer em uma taça previamente resfriada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</si>
  <si>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Finalize com um zest de limão siciliano ou azeitona no palito</t>
    </r>
  </si>
  <si>
    <t>Dirty Martini</t>
  </si>
  <si>
    <t>Categoria:  Salino, seco, notas de oliva</t>
  </si>
  <si>
    <t xml:space="preserve">Guarnição: Azeitonas </t>
  </si>
  <si>
    <t>Vermute seco Nolly prat</t>
  </si>
  <si>
    <t>Salmoura de azeitonas</t>
  </si>
  <si>
    <t>Solução Salina</t>
  </si>
  <si>
    <t>gotas</t>
  </si>
  <si>
    <t xml:space="preserve">Amaretto Sour 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</si>
  <si>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Adicione gelo no Mixing glass, resfrie e coe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</si>
  <si>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Adicione todos os ingredientes e mexa por 10 segundos </t>
    </r>
  </si>
  <si>
    <t xml:space="preserve">Pisco Sour </t>
  </si>
  <si>
    <t>Categoria:  Sour/ Clássico Contemporâneo</t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</si>
  <si>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Faça a filtragem com auxilio o strainer em uma taça previamente resfriada</t>
    </r>
  </si>
  <si>
    <t>Categoria:  Sour/ Clássico contemporâneo</t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</si>
  <si>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Finalize com 3 azeitonas no palito</t>
    </r>
  </si>
  <si>
    <t>Guarnição: Óleos essenciais de limão siciliano</t>
  </si>
  <si>
    <t>Guarnição: Zest de limão siciliano</t>
  </si>
  <si>
    <t xml:space="preserve">Salmoura de azeitonas </t>
  </si>
  <si>
    <t xml:space="preserve">Modalidade: Batido/ Dupla filtragem </t>
  </si>
  <si>
    <t>Modalidade: Batido / Dupa Filtragem</t>
  </si>
  <si>
    <t>Copo: Taça coupe Horizon</t>
  </si>
  <si>
    <t>Copo: On the rocks</t>
  </si>
  <si>
    <t>Água filtrada</t>
  </si>
  <si>
    <t>Sal Marinho</t>
  </si>
  <si>
    <t>Pisco Capel</t>
  </si>
  <si>
    <t>gr</t>
  </si>
  <si>
    <t xml:space="preserve">Azeitona verde </t>
  </si>
  <si>
    <t>Amaretto Del orso</t>
  </si>
  <si>
    <t>Ácido cítrico</t>
  </si>
  <si>
    <t>Folha de Louro</t>
  </si>
  <si>
    <t>Xarope simples</t>
  </si>
  <si>
    <t>und</t>
  </si>
  <si>
    <t>Xarope Simples</t>
  </si>
  <si>
    <t>Casca de limão siciliano</t>
  </si>
  <si>
    <t>Old Cuban</t>
  </si>
  <si>
    <t xml:space="preserve">Sumo de limão sicíliano </t>
  </si>
  <si>
    <t>Semente de coentro</t>
  </si>
  <si>
    <t>Esmagadas</t>
  </si>
  <si>
    <t xml:space="preserve">Clara de ovo </t>
  </si>
  <si>
    <t>Clara de ovo</t>
  </si>
  <si>
    <t xml:space="preserve">Categoria:  Fresco, herbal, seco, espumante </t>
  </si>
  <si>
    <t>Pimenta-branca</t>
  </si>
  <si>
    <t xml:space="preserve">Angostura </t>
  </si>
  <si>
    <t>Pra finalizar</t>
  </si>
  <si>
    <t>Amassado</t>
  </si>
  <si>
    <t>Guarnição: Folha de hortelão</t>
  </si>
  <si>
    <t xml:space="preserve">Modalidade: Batido/top up </t>
  </si>
  <si>
    <t xml:space="preserve">Copo: Taça coupe Horizon </t>
  </si>
  <si>
    <r>
      <rPr>
        <rFont val="Arial"/>
        <b/>
        <color theme="1"/>
      </rPr>
      <t>1-</t>
    </r>
    <r>
      <rPr>
        <rFont val="Arial"/>
        <color theme="1"/>
      </rPr>
      <t xml:space="preserve"> Resfrie previamente um copo on the rockS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</si>
  <si>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Em uma coqueteleira, adicione todos os ingredientes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</si>
  <si>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Dry Shake Bata vigorosamente sem gelo por 15 a 20 segundos. Essa etapa promove a desnaturação das proteínas da clara/albumina, formando uma espuma fina e estável.</t>
    </r>
  </si>
  <si>
    <t xml:space="preserve">Havana 7 anos </t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</si>
  <si>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Adicione gelo sólido de boa qualidade até preencher aproximadamente ⅔ da coqueteleira.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</si>
  <si>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Resfrie previamente uma taça Nick &amp; Nora ou Coupe</t>
    </r>
  </si>
  <si>
    <t>1 - Dissolva o sal e o ácido cítrico na água.</t>
  </si>
  <si>
    <r>
      <rPr>
        <rFont val="Aptos Narrow"/>
        <b/>
        <color rgb="FF000000"/>
        <sz val="11.0"/>
      </rPr>
      <t xml:space="preserve">5- </t>
    </r>
    <r>
      <rPr>
        <rFont val="Aptos Narrow"/>
        <color rgb="FF000000"/>
        <sz val="11.0"/>
      </rPr>
      <t>Wet Shake Bata novamente por 12 a 15 segundos, buscando simultaneamente refrigeração, diluição e emulsão.</t>
    </r>
  </si>
  <si>
    <t xml:space="preserve">Sumo de limão tahiti </t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</si>
  <si>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Em uma coqueteleira, adicione: Pisco, Suco de limão-taiti fresco, Xarope simples, Clara de ovo ou albumina</t>
    </r>
  </si>
  <si>
    <r>
      <rPr>
        <rFont val="Arial"/>
        <b/>
        <color rgb="FF000000"/>
        <sz val="11.0"/>
      </rPr>
      <t>6-</t>
    </r>
    <r>
      <rPr>
        <rFont val="Arial"/>
        <color rgb="FF000000"/>
        <sz val="11.0"/>
      </rPr>
      <t xml:space="preserve"> faça double strain (coador Hawthorne + peneira fina) sobre o gelo. Isso elimina pequenos cristais e resíduos de clara, proporcionando uma textura mais limpa.</t>
    </r>
  </si>
  <si>
    <t>2- Adicione os aromáticos e aqueça a 60 °C por 20 minutos.</t>
  </si>
  <si>
    <t>Xarope SImples</t>
  </si>
  <si>
    <r>
      <t xml:space="preserve">7- </t>
    </r>
    <r>
      <rPr>
        <rFont val="Arial"/>
        <b val="0"/>
        <color rgb="FF000000"/>
      </rPr>
      <t>Aguarde 20 a 30 segundos para estabilização da espuma.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</si>
  <si>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  <r>
      <rPr>
        <rFont val="Aptos Narrow"/>
        <b/>
        <color theme="1"/>
        <sz val="11.0"/>
      </rPr>
      <t>Dry Shake:</t>
    </r>
    <r>
      <rPr>
        <rFont val="Aptos Narrow"/>
        <color theme="1"/>
        <sz val="11.0"/>
      </rPr>
      <t xml:space="preserve"> Bata vigorosamente sem gelo por 15 a 20 segundos, promovendo uma emulsão uniforme e uma espuma densa.</t>
    </r>
  </si>
  <si>
    <t>3- Resfrie completamente.</t>
  </si>
  <si>
    <t>Folhas de hortelã</t>
  </si>
  <si>
    <t>8 a 10</t>
  </si>
  <si>
    <t>4- Acrescente as azeitonas esmagadas.</t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</si>
  <si>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Adicione gelo sólido de boa qualidade até preencher aproximadamente ⅔ da coqueteleira.</t>
    </r>
  </si>
  <si>
    <r>
      <rPr>
        <rFont val="Arial"/>
        <b/>
        <color rgb="FF000000"/>
      </rPr>
      <t>8-</t>
    </r>
    <r>
      <rPr>
        <rFont val="Arial"/>
        <color rgb="FF000000"/>
      </rPr>
      <t xml:space="preserve"> expresse óleos essenciais de limão siciliano sobre o copo  e bordas.</t>
    </r>
  </si>
  <si>
    <t>5- Deixe em infusão refrigerada por 48 horas.</t>
  </si>
  <si>
    <t>Angostura bitters</t>
  </si>
  <si>
    <r>
      <t>5-</t>
    </r>
    <r>
      <rPr>
        <rFont val="Arial"/>
        <b val="0"/>
        <color rgb="FF000000"/>
      </rPr>
      <t xml:space="preserve"> </t>
    </r>
    <r>
      <rPr>
        <rFont val="Arial"/>
        <b/>
        <color rgb="FF000000"/>
      </rPr>
      <t xml:space="preserve">Wet Shake: </t>
    </r>
    <r>
      <rPr>
        <rFont val="Arial"/>
        <b val="0"/>
        <color rgb="FF000000"/>
      </rPr>
      <t>Bata por 10 a 12 segundos, buscando uma diluição de aproximadamente 18–22%.</t>
    </r>
  </si>
  <si>
    <t>dashes</t>
  </si>
  <si>
    <t>6- Filtre em superbag ou filtro de café.</t>
  </si>
  <si>
    <t>Espumante brut</t>
  </si>
  <si>
    <r>
      <t xml:space="preserve">6- </t>
    </r>
    <r>
      <rPr>
        <rFont val="Arial"/>
        <b val="0"/>
        <color rgb="FF000000"/>
      </rPr>
      <t>faça double strain (coador Hawthorne + peneira fina) sobre o gelo. Isso elimina pequenos cristais e resíduos de clara, proporcionando uma textura mais limpa</t>
    </r>
    <r>
      <rPr>
        <rFont val="Arial"/>
        <b/>
        <color rgb="FF000000"/>
      </rPr>
      <t>.</t>
    </r>
  </si>
  <si>
    <r>
      <t xml:space="preserve">7- </t>
    </r>
    <r>
      <rPr>
        <rFont val="Arial"/>
        <b val="0"/>
        <color rgb="FF000000"/>
      </rPr>
      <t>Aguarde 20 a 30 segundos para estabilização da espuma.</t>
    </r>
  </si>
  <si>
    <r>
      <t xml:space="preserve">8- </t>
    </r>
    <r>
      <rPr>
        <rFont val="Arial"/>
        <b val="0"/>
        <color rgb="FF000000"/>
      </rPr>
      <t>Finalize com 3 gotas de angostura sobre a espuma e expresse óleos essenciais de limão siciliano sobre o copo</t>
    </r>
    <r>
      <rPr>
        <rFont val="Arial"/>
        <b/>
        <color rgb="FF000000"/>
      </rPr>
      <t xml:space="preserve">  e bordas.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</si>
  <si>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Torça levemente as folhas  de hortelâ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</si>
  <si>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Na coqueteleira, adicione: Limão, Rum, Simples , angostura e amasse as folhas de hortelã para incorporar á receita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</si>
  <si>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Adicione gelo sólido de boa qualidade até preencher aproximadamente ⅔ da coqueteleira.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</si>
  <si>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Bata  por 8 a 10 segundos, buscando simultaneamente refrigeração, diluição e emulsão</t>
    </r>
  </si>
  <si>
    <r>
      <t>5- F</t>
    </r>
    <r>
      <rPr>
        <rFont val="Arial"/>
        <b val="0"/>
        <color rgb="FF000000"/>
      </rPr>
      <t>aça double strain (coador Hawthorne + peneira fina) sobre o gelo. Isso elimina pequenos cristais e resíduos de clara, proporcionando uma textura mais limpa.</t>
    </r>
  </si>
  <si>
    <r>
      <t xml:space="preserve">6- </t>
    </r>
    <r>
      <rPr>
        <rFont val="Arial"/>
        <b val="0"/>
        <color rgb="FF000000"/>
      </rPr>
      <t>Finalize com espumante e decore com uma boa folha de hortelã</t>
    </r>
  </si>
  <si>
    <t xml:space="preserve">Espresso Martini </t>
  </si>
  <si>
    <t>Categoria:  Encorpado, intenso, café, seco</t>
  </si>
  <si>
    <t>Guarnição: 3 grãos de café</t>
  </si>
  <si>
    <t>Paperplane</t>
  </si>
  <si>
    <t>Sidecar</t>
  </si>
  <si>
    <t>Modalidade: Batido</t>
  </si>
  <si>
    <t>Categoria:  Cítrico, amargo, equilibrado, contemporâneo</t>
  </si>
  <si>
    <t>Copo: Taça Evangeline</t>
  </si>
  <si>
    <t>Categoria:  Citríco, seco, elegante, clássico</t>
  </si>
  <si>
    <t>Guarnição: Twist de laranja</t>
  </si>
  <si>
    <t>Copo: Taça NIck &amp; Nora</t>
  </si>
  <si>
    <t>Vodka Wyborowa / Absolut</t>
  </si>
  <si>
    <t>Copo: Taça Nick &amp; Nora</t>
  </si>
  <si>
    <t>Café espresso</t>
  </si>
  <si>
    <t>Cápsula de café espresso</t>
  </si>
  <si>
    <t>Whisky Bourbon</t>
  </si>
  <si>
    <t>Lico de café Cabralab</t>
  </si>
  <si>
    <t>Mark Twain</t>
  </si>
  <si>
    <t>Aperol</t>
  </si>
  <si>
    <t>Amaro Averna</t>
  </si>
  <si>
    <t>Categoria:  cítrico, equilibrado, whisky,clássico</t>
  </si>
  <si>
    <t>Sumo de Limão siciliano</t>
  </si>
  <si>
    <t>Hennessy V.S</t>
  </si>
  <si>
    <t>Guarnição: twists de limão sicíliano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</si>
  <si>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Na coqueteleira, adicione: Vodka, café, Licor de café e xarope simples</t>
    </r>
  </si>
  <si>
    <t>Cointreau</t>
  </si>
  <si>
    <t>2- Adicione gelo sólido de boa qualidade até preencher aproximadamente ⅔ da coqueteleira.</t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</si>
  <si>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 Bata  por 10 a 12 segundos, buscando simultaneamente refrigeração, diluição e emulsão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</si>
  <si>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Resfrie previamente a taça coupe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</si>
  <si>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Faça dupla coagem para a taça previamente resfriada.</t>
    </r>
  </si>
  <si>
    <r>
      <rPr>
        <rFont val="Arial"/>
        <b/>
        <color rgb="FF000000"/>
      </rPr>
      <t>5-</t>
    </r>
    <r>
      <rPr>
        <rFont val="Arial"/>
        <color rgb="FF000000"/>
      </rPr>
      <t xml:space="preserve"> Finalize com 3 grãos de café sobre a crema.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</si>
  <si>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Adicione todos os ingredientes na coqueteleira com gelo.</t>
    </r>
  </si>
  <si>
    <t>Fresco</t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</si>
  <si>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Bata vigorosamente por 10–12 segundos.</t>
    </r>
  </si>
  <si>
    <t xml:space="preserve">Whisky Ballantines Finest </t>
  </si>
  <si>
    <t>Observação técnica:</t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</si>
  <si>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Faça dupla coagem para a taça previamente resfriada.</t>
    </r>
  </si>
  <si>
    <r>
      <t xml:space="preserve">5- </t>
    </r>
    <r>
      <rPr>
        <rFont val="Arial"/>
        <b val="0"/>
        <color rgb="FF000000"/>
      </rPr>
      <t>Finalize com um twist de limão-siciliano.</t>
    </r>
  </si>
  <si>
    <t xml:space="preserve">:Utilize sempre um espresso recém-extraído, com crema íntegra e temperatura elevada. </t>
  </si>
  <si>
    <t>A crema atua como agente espumante natural durante a agitação, conferindo textura aveludada e sustentação para a guarnição.</t>
  </si>
  <si>
    <t>Evite aguardar mais de 1 minuto entre a extração e o preparo do coquetel, pois a perda da crema compromete a estabilidade da espuma e a apresentação final</t>
  </si>
  <si>
    <t>OBSERVAÇÃO TÉCNIVA</t>
  </si>
  <si>
    <t>O equilíbrio do Paper Plane depende da precisão das quatro partes iguais.</t>
  </si>
  <si>
    <t>Angostura Bitters</t>
  </si>
  <si>
    <t>Pequenas variações da medida ou diluição alteram siginificativamente o perfíl sensorial do coquetel.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</si>
  <si>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Resfrie oreviamente a taça de serviço</t>
    </r>
  </si>
  <si>
    <r>
      <t>1-</t>
    </r>
    <r>
      <rPr>
        <rFont val="Aptos Narrow"/>
        <b val="0"/>
        <color theme="1"/>
        <sz val="11.0"/>
      </rPr>
      <t xml:space="preserve">Resfrie previamente a taça de serviço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</si>
  <si>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Adicione o Hennessy V.S, o Cointreau e o limão á coqueteleira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</si>
  <si>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Complete a coqueteleira com geo sólido de boa qualidade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</si>
  <si>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Bata vigorosamente por 10 a 12 egundos para promover a refrigeração e deluição adequadas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</si>
  <si>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Adicione o whisky scotch, o limão, xarope simples e a angostura á coqueteleira</t>
    </r>
  </si>
  <si>
    <r>
      <t xml:space="preserve">5- </t>
    </r>
    <r>
      <rPr>
        <rFont val="Arial"/>
        <b val="0"/>
        <color rgb="FF000000"/>
      </rPr>
      <t>Faça dupla coagem para a taça previamente resefriada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</si>
  <si>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Complete a coqueteleira com gelo sólido de boa qualidade</t>
    </r>
  </si>
  <si>
    <r>
      <t xml:space="preserve">6- </t>
    </r>
    <r>
      <rPr>
        <rFont val="Arial"/>
        <b val="0"/>
        <color rgb="FF000000"/>
      </rPr>
      <t>Expresse os óleos essenciais de laranja bahia sobre a superficie do coquetel e utilize-o como guarnição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</si>
  <si>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Bata vigorosamente por 10 a 12 segundos para promover refrigeração e diluição contorladas</t>
    </r>
  </si>
  <si>
    <r>
      <t>5-</t>
    </r>
    <r>
      <rPr>
        <rFont val="Arial"/>
        <b val="0"/>
        <color rgb="FF000000"/>
      </rPr>
      <t>Faça dupla filtragem para a taça previamente resfriada</t>
    </r>
  </si>
  <si>
    <t>OBSERVAÇÃO TÉCNICA</t>
  </si>
  <si>
    <r>
      <t>6-</t>
    </r>
    <r>
      <rPr>
        <rFont val="Arial"/>
        <b val="0"/>
        <color rgb="FF000000"/>
      </rPr>
      <t>Expresse os óleos essenciais do twist de limão siciliano sobre a superficie do coquetel e utilize-o como guarnição</t>
    </r>
  </si>
  <si>
    <t>O Sidecar depende do equilíbrio entre a estrutura do cognac, a doçura do licor de laranja e a acidez do limão-siciliano. .</t>
  </si>
  <si>
    <t xml:space="preserve">Utilize sempre suco fresco e controle a diluição durante a agitação para preservar a textura sedosa e o final seco característicos do coquetel. </t>
  </si>
  <si>
    <t>A expressão dos óleos do twist de laranja é essencial para ampliar a percepção aromática sem alterar seu equilíbrio</t>
  </si>
  <si>
    <t>O Mark twain funciona como um sour de estrutura simples</t>
  </si>
  <si>
    <t>O blendd scotch precisa permanecer perceptívelapós a agitação, sem ser comprimido pela acidz do limão ou pela oçura do xarope</t>
  </si>
  <si>
    <t>Fitzgerald</t>
  </si>
  <si>
    <t>Categoria:  cítrico, refrescante, gin sour, aromático</t>
  </si>
  <si>
    <t>Guarnição: Twist de limão siciliano</t>
  </si>
  <si>
    <t>Gin Amazzonni</t>
  </si>
  <si>
    <t>Sumo de limão sicíliano</t>
  </si>
  <si>
    <t>Angostura</t>
  </si>
  <si>
    <t>Gold Rush</t>
  </si>
  <si>
    <t>Categoria: cítrico, mel, bourbon, equilibrado</t>
  </si>
  <si>
    <t>Guarnição: Twist de limão sicíliano</t>
  </si>
  <si>
    <t>1- Resfrie previamente o copo de serviço.</t>
  </si>
  <si>
    <t>2- Adicione o gin, o suco de limão-siciliano, o xarope simples e a Angostura à coqueteleira.</t>
  </si>
  <si>
    <t>Copo: Copo on the rocks</t>
  </si>
  <si>
    <t>3- Complete com gelo sólido de boa qualidade.</t>
  </si>
  <si>
    <t>4-  Bata vigorosamente por 10 a 12 segundos para promover refrigeração e diluição controladas.</t>
  </si>
  <si>
    <t>5- Coe para o copo previamente resfriado com gelo fresco.</t>
  </si>
  <si>
    <t>6- Finalize com a guarnição cítrica e sirva imediatamente.</t>
  </si>
  <si>
    <t>OBSERVAÇÔES TÈCNICAS</t>
  </si>
  <si>
    <t>O Fitzgerald é, na prática, um Gin Sour enriquecido com Angostura, e é justamente esse bitter que amplia a sensação de corpo</t>
  </si>
  <si>
    <t>e complexidade do coquetel.</t>
  </si>
  <si>
    <t>Xarope de mel</t>
  </si>
  <si>
    <t>A execução depende de um gim com presença suficiente para não se perder diante da acidez do limão, enquanto a diluição permancer</t>
  </si>
  <si>
    <t>controlada para preservar a textura seca e refrescante do que define o drink.</t>
  </si>
  <si>
    <t>Cosmopolitan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</si>
  <si>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Resfrie previamanete o copo de serviço</t>
    </r>
  </si>
  <si>
    <t xml:space="preserve">Categoria:  </t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</si>
  <si>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Adicione o Bourbon, o suco de limão sicíliano e o xarope de mel á coqueteleira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</si>
  <si>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Complete com gelo sólido de boa qualidade</t>
    </r>
  </si>
  <si>
    <t xml:space="preserve">Guarnição: Zest de laranja bahia </t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</si>
  <si>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Bata vigorosamente por 10 a 12 segundos para promover refrigeração e diluição controladas</t>
    </r>
  </si>
  <si>
    <r>
      <rPr>
        <rFont val="Arial"/>
        <b/>
        <color rgb="FF000000"/>
      </rPr>
      <t xml:space="preserve">5- </t>
    </r>
    <r>
      <rPr>
        <rFont val="Arial"/>
        <b val="0"/>
        <color rgb="FF000000"/>
      </rPr>
      <t>Faça dupla filtragem para o copo previamente resfriada</t>
    </r>
  </si>
  <si>
    <t xml:space="preserve">Modalidade: Batido </t>
  </si>
  <si>
    <r>
      <t xml:space="preserve">6- </t>
    </r>
    <r>
      <rPr>
        <rFont val="Arial"/>
        <b val="0"/>
        <color rgb="FF000000"/>
      </rPr>
      <t>Exprese os óleos essenciais do twist de limão sicíliano sobre a superficíe do coquetel e utilize-o como guarnição</t>
    </r>
  </si>
  <si>
    <t xml:space="preserve">Copo: Taça nick &amp; nora </t>
  </si>
  <si>
    <t>OBSERVAÇÕES TÉCNICAS</t>
  </si>
  <si>
    <t>A qualidade da água de mel influencia diretamente a textura e o equilíbrio do Gold Rush</t>
  </si>
  <si>
    <t xml:space="preserve">Vermute Tônica </t>
  </si>
  <si>
    <t>Vodka  Wyborowa</t>
  </si>
  <si>
    <t>Uma solução homogênea promove melhor integração ao bourbon e distribui o dulçor de forma unirfome,</t>
  </si>
  <si>
    <t>preservando as características aromáticas do mel.</t>
  </si>
  <si>
    <t xml:space="preserve">Guarnição: Meia lua de laranja baha </t>
  </si>
  <si>
    <t xml:space="preserve">Suco de cranberry </t>
  </si>
  <si>
    <t>A diluição deve ser moderada para manter um coquetel de corpo sedo, acidez equilibrada e final persistente.</t>
  </si>
  <si>
    <t>Modalidade: Montado</t>
  </si>
  <si>
    <t>XAROPE DE MEL</t>
  </si>
  <si>
    <t xml:space="preserve">Copo: Long drink </t>
  </si>
  <si>
    <t xml:space="preserve">Vermute La Finca </t>
  </si>
  <si>
    <t xml:space="preserve">ÁGUA FILTRADA </t>
  </si>
  <si>
    <t>MEL IN NATURA</t>
  </si>
  <si>
    <t xml:space="preserve">Àgua Tônica 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</si>
  <si>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Resfrie previamente a taça de serviço.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</si>
  <si>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 Adicione a vodka citrus, o Cointreau, o suco de limão-taiti e o suco de cranberry à coqueteleira.</t>
    </r>
  </si>
  <si>
    <r>
      <rPr>
        <rFont val="Aptos Narrow"/>
        <b/>
        <color theme="1"/>
        <sz val="11.0"/>
      </rPr>
      <t xml:space="preserve">1- </t>
    </r>
    <r>
      <rPr>
        <rFont val="Aptos Narrow"/>
        <b val="0"/>
        <color theme="1"/>
        <sz val="11.0"/>
      </rPr>
      <t>Aqueça a água entre 35 e 40 °C, sem atingir fervura</t>
    </r>
    <r>
      <rPr>
        <rFont val="Aptos Narrow"/>
        <color theme="1"/>
        <sz val="11.0"/>
      </rPr>
      <t>.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</si>
  <si>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Complete com gelo sólido de boa qualidade.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</si>
  <si>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</si>
  <si>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 xml:space="preserve">2- </t>
    </r>
    <r>
      <rPr>
        <rFont val="Aptos Narrow"/>
        <b val="0"/>
        <color theme="1"/>
        <sz val="11.0"/>
      </rPr>
      <t>Adicione o mel e misture delicadamente atpe completar homogenização.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</si>
  <si>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Bata vigorosamente por 10 a 12 segundos para promover refrigeração e integração adequada dos ingredientes.</t>
    </r>
  </si>
  <si>
    <r>
      <rPr>
        <rFont val="Aptos Narrow"/>
        <b/>
        <color theme="1"/>
        <sz val="11.0"/>
      </rPr>
      <t>3-</t>
    </r>
    <r>
      <rPr>
        <rFont val="Aptos Narrow"/>
        <b val="0"/>
        <color theme="1"/>
        <sz val="11.0"/>
      </rPr>
      <t>Resfrie rapidamente.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</si>
  <si>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</si>
  <si>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t xml:space="preserve">5- </t>
    </r>
    <r>
      <rPr>
        <rFont val="Arial"/>
        <b val="0"/>
        <color rgb="FF000000"/>
      </rPr>
      <t>Faça dupla coagem para a taça previamente resfriada.</t>
    </r>
  </si>
  <si>
    <r>
      <t xml:space="preserve">4- </t>
    </r>
    <r>
      <rPr>
        <rFont val="Aptos Narrow"/>
        <b val="0"/>
        <color theme="1"/>
        <sz val="11.0"/>
      </rPr>
      <t>Trasnfira para recipiente sanitizado, identifique e mantenha sob refrigeração entre 2 e 5°C.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</si>
  <si>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</si>
  <si>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</si>
  <si>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t xml:space="preserve">6- </t>
    </r>
    <r>
      <rPr>
        <rFont val="Arial"/>
        <b val="0"/>
        <color rgb="FF000000"/>
      </rPr>
      <t>Expresse os óleos essenciais do twist de limão-siciliano sobre a superfície do coquetel e utilize-o como guarnição</t>
    </r>
    <r>
      <rPr>
        <rFont val="Arial"/>
        <b/>
        <color rgb="FF000000"/>
      </rPr>
      <t>.</t>
    </r>
  </si>
  <si>
    <t>Evite aquecer a água de 40°C, pois temperaturas elevadas aceleram a perda de compostos aromáticos coláteis do mel e alteram seu perfil</t>
  </si>
  <si>
    <t>5-</t>
  </si>
  <si>
    <t>sensorial.</t>
  </si>
  <si>
    <t>A água de mel deve permanecer completamente homogênea durante o serviço; caso ocorra separação de fases, homgeneize novamente antes</t>
  </si>
  <si>
    <t>da diluição</t>
  </si>
  <si>
    <t>OBSERVAÇÂO TÈCNICA</t>
  </si>
  <si>
    <t xml:space="preserve">O cosmopiolitan depende do equilibrio entre acidez, doçura e cor. </t>
  </si>
  <si>
    <t>O cranberry deve entrar como elemento estrutural, não como excesso de dulçor</t>
  </si>
  <si>
    <t xml:space="preserve">para que coquetel permaneça seco e elegante. </t>
  </si>
  <si>
    <t>A agitação precisa ser suficiente para integrar o uco e conferir textura leve, sem diluir demais a bebida</t>
  </si>
  <si>
    <t>nem apagar a presença de vodka e doi cointreau.</t>
  </si>
  <si>
    <t xml:space="preserve">Xarope monin cranberry </t>
  </si>
  <si>
    <t xml:space="preserve">Guarnição: </t>
  </si>
  <si>
    <t xml:space="preserve">Copo: 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</si>
  <si>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</si>
  <si>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</si>
  <si>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</si>
  <si>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</si>
  <si>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</si>
  <si>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</si>
  <si>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</si>
  <si>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</si>
  <si>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</si>
  <si>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</si>
  <si>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</si>
  <si>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</si>
  <si>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</si>
  <si>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</si>
  <si>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</si>
  <si>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</si>
  <si>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</si>
  <si>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</si>
  <si>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</si>
  <si>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</si>
  <si>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</si>
  <si>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</si>
  <si>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</si>
  <si>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</si>
  <si>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</si>
  <si>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</si>
  <si>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</si>
  <si>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</si>
  <si>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</si>
  <si>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</si>
  <si>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</si>
  <si>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</si>
  <si>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</si>
  <si>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</si>
  <si>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</si>
  <si>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</si>
  <si>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</si>
  <si>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</si>
  <si>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</si>
  <si>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</si>
  <si>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</si>
  <si>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</si>
  <si>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</si>
  <si>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</si>
  <si>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</si>
  <si>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</si>
  <si>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</si>
  <si>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</si>
  <si>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</si>
  <si>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</si>
  <si>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</si>
  <si>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</si>
  <si>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</si>
  <si>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</si>
  <si>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</si>
  <si>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</si>
  <si>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</si>
  <si>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</si>
  <si>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</si>
  <si>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</si>
  <si>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</si>
  <si>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</si>
  <si>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</si>
  <si>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</si>
  <si>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t xml:space="preserve">Autoral 1 </t>
  </si>
  <si>
    <t>Guarnição: Bala de tamarindo</t>
  </si>
  <si>
    <t xml:space="preserve">Copo: on the rocks 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</si>
  <si>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</si>
  <si>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</si>
  <si>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t>Cachaça envelhecida em Cerejeira</t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</si>
  <si>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</si>
  <si>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</si>
  <si>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t>Redução de tamarindo</t>
  </si>
  <si>
    <t>Suco de beterraba</t>
  </si>
  <si>
    <t>Mel in natura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</si>
  <si>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</si>
  <si>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</si>
  <si>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</si>
  <si>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</si>
  <si>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t>REDUÇÃO DE TAMARINDO</t>
  </si>
  <si>
    <t>VALIDADE: 7 dias refrigerado</t>
  </si>
  <si>
    <t>Pasta de tamarindo</t>
  </si>
  <si>
    <t>Açucar refinado</t>
  </si>
  <si>
    <t>1-Aquecer a água e dissolver a pasta de tamarindo</t>
  </si>
  <si>
    <t>2- Acrescentar o açucar e cozinhar em fogo baixo por 10 min</t>
  </si>
  <si>
    <t>3- Reduzir até atingir textura mais densa e ácida</t>
  </si>
  <si>
    <t>4- Resfriar e refrigerar</t>
  </si>
  <si>
    <t>SUCO DE BETERRABA</t>
  </si>
  <si>
    <t xml:space="preserve">VALIDADE: 24 horas </t>
  </si>
  <si>
    <t xml:space="preserve">Autoral 2 </t>
  </si>
  <si>
    <t xml:space="preserve">Beterraba </t>
  </si>
  <si>
    <t>Guarnição: Amendoin praliné artesanal</t>
  </si>
  <si>
    <t>Descascada em pedaços</t>
  </si>
  <si>
    <t>Copo:  on the rocks</t>
  </si>
  <si>
    <t>Rum envelhecido fatwash óleo gergelim</t>
  </si>
  <si>
    <t>Licor de café</t>
  </si>
  <si>
    <t>Extrato clarificado de amendoin</t>
  </si>
  <si>
    <t>Tintura de cumaru</t>
  </si>
  <si>
    <t>gota</t>
  </si>
  <si>
    <t>1 - Bater os ingredientes no liquidificador por 1 minuto</t>
  </si>
  <si>
    <t>Solução salina</t>
  </si>
  <si>
    <t>2- Coar em chinois fino</t>
  </si>
  <si>
    <t xml:space="preserve">3- Manter refrigerado e protegido da luz 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</si>
  <si>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</si>
  <si>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</si>
  <si>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</si>
  <si>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</si>
  <si>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t>RUM FATWASH EM ÓLEO DE GERGELIM</t>
  </si>
  <si>
    <t>Rum envelhecido</t>
  </si>
  <si>
    <t>Havana 7 anos</t>
  </si>
  <si>
    <t>Òleo de gergelim torrado</t>
  </si>
  <si>
    <t xml:space="preserve">Autoral 3 </t>
  </si>
  <si>
    <t>1 - MIsturar rum e ólro de gergelim em um saco a vácuo</t>
  </si>
  <si>
    <t>2- Repousar 6 horas em temperatura ambiente</t>
  </si>
  <si>
    <t>Guarnição:  Ar molecular de erva mate verde</t>
  </si>
  <si>
    <t>3- Congelar por 12 horas</t>
  </si>
  <si>
    <t>Modalidade: Montado / pré batch</t>
  </si>
  <si>
    <t xml:space="preserve">4- Remover gordura solidificada da superfície </t>
  </si>
  <si>
    <t>5- Filtrar em papel.</t>
  </si>
  <si>
    <t>Copo: Long Drink</t>
  </si>
  <si>
    <t>EXTRATO CLARIFICADO DE PRALINÉ DE AMENDOIN</t>
  </si>
  <si>
    <t>Pisco</t>
  </si>
  <si>
    <t>Pasta de praliné de amendoin</t>
  </si>
  <si>
    <t>Água mineral</t>
  </si>
  <si>
    <t>Cordial de lima da pérsia</t>
  </si>
  <si>
    <t>Sal</t>
  </si>
  <si>
    <t>Soda de cedrón</t>
  </si>
  <si>
    <t>1- Aquecer a 60 - 65°C por cerca de 35 minutos</t>
  </si>
  <si>
    <t>2- Homogeinizar</t>
  </si>
  <si>
    <t xml:space="preserve">3- Congelar por 12 horas </t>
  </si>
  <si>
    <t>4- Descongelar lentamente em superbag ou filtro de papel</t>
  </si>
  <si>
    <t>5- Coar fino</t>
  </si>
  <si>
    <t>PASTA DE PRALINÉ DE AMENDOIN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</si>
  <si>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</si>
  <si>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t>Amendoin torrado sem pele</t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</si>
  <si>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</si>
  <si>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</si>
  <si>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t>Sal refinado</t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</si>
  <si>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</si>
  <si>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t>Achocolatado/cacau em pó</t>
  </si>
  <si>
    <t xml:space="preserve">1- fazer caramelho ambar </t>
  </si>
  <si>
    <t>CORDIAL LIMA DA PÈRSIA</t>
  </si>
  <si>
    <t>2- Incorporar amendoin com achocolatado</t>
  </si>
  <si>
    <t>3- Abrir em silpat</t>
  </si>
  <si>
    <t>4- Resfriar completamente</t>
  </si>
  <si>
    <t>Cascas de lima da pérsia</t>
  </si>
  <si>
    <t>5- processar até virar pasta</t>
  </si>
  <si>
    <t xml:space="preserve">TINTURA DE CUMARU </t>
  </si>
  <si>
    <t xml:space="preserve">Semente de cumaru </t>
  </si>
  <si>
    <t>Sumo de lima da pérsia</t>
  </si>
  <si>
    <t>Alcool de cereais</t>
  </si>
  <si>
    <t>Ácido citrico</t>
  </si>
  <si>
    <t>1 - Em um frasco esterelizado, faça a infusão a frio por 72 horas</t>
  </si>
  <si>
    <t>2- Coar fino</t>
  </si>
  <si>
    <t>1 - MIsturar cascas e açucar</t>
  </si>
  <si>
    <t>AMENDOIN PRALINÉ GUARNIÇÃO</t>
  </si>
  <si>
    <t>2 - Descansar 8 - 12 horas até formar o óleo saccharum.</t>
  </si>
  <si>
    <t>Amendoin torrado sem casca</t>
  </si>
  <si>
    <t>3 - Adicionar sumo e água</t>
  </si>
  <si>
    <t>4- Bater no liquidificador por 1 minuto</t>
  </si>
  <si>
    <t>Achocolatado</t>
  </si>
  <si>
    <t>5- Filtrar em superbag</t>
  </si>
  <si>
    <t>fermentoem pó</t>
  </si>
  <si>
    <t>SODA DE CEDRÒN</t>
  </si>
  <si>
    <t>1- Na panela, adicione todos os ingredientes</t>
  </si>
  <si>
    <t>Agua filtrada</t>
  </si>
  <si>
    <t>Autoral 4</t>
  </si>
  <si>
    <t xml:space="preserve">2 - Mantenha em fogo médio mexendo ocasionalmente </t>
  </si>
  <si>
    <t>Erva Verbena/cedrón</t>
  </si>
  <si>
    <t xml:space="preserve">3- Assim que reduzir, coloque no fogo baixo até secar completamente </t>
  </si>
  <si>
    <t>Camomila</t>
  </si>
  <si>
    <t>Categoria:  Cluster de uva verde semi-desidratada</t>
  </si>
  <si>
    <t>4- Transferir pra uma vasilha e levar ao microondas em 5 ciclos de 1 minuto</t>
  </si>
  <si>
    <t>Casca de lima da pérsia</t>
  </si>
  <si>
    <t xml:space="preserve">TESTE 1 </t>
  </si>
  <si>
    <t xml:space="preserve">Açucar refinado </t>
  </si>
  <si>
    <t>150 g praliné</t>
  </si>
  <si>
    <t>350 g água</t>
  </si>
  <si>
    <t>60 °C</t>
  </si>
  <si>
    <t>60 minutos</t>
  </si>
  <si>
    <t xml:space="preserve">1- Aquecer água até 80°C </t>
  </si>
  <si>
    <t>↓</t>
  </si>
  <si>
    <t>2- Acidionar cedrón, camomila e casca de lima</t>
  </si>
  <si>
    <t>Mixer</t>
  </si>
  <si>
    <t>Superbag 100 µm</t>
  </si>
  <si>
    <t>Filtro de papel</t>
  </si>
  <si>
    <t>3- infundir por 5 minutos</t>
  </si>
  <si>
    <t>4- Dissolver o açucar</t>
  </si>
  <si>
    <t xml:space="preserve">5- Resfriar completamente </t>
  </si>
  <si>
    <t>Whisky Chivas 12 anos</t>
  </si>
  <si>
    <t xml:space="preserve">6- Carbonatar em 3 ciclos da presh </t>
  </si>
  <si>
    <t>VInho branco seco</t>
  </si>
  <si>
    <t>INFUSÃO FORTE DE ERVA MATE VERDE</t>
  </si>
  <si>
    <t>Soda de uva verde clarificada</t>
  </si>
  <si>
    <t xml:space="preserve">Erva mate verde </t>
  </si>
  <si>
    <t>Solução salina 20%</t>
  </si>
  <si>
    <t>Autoral 5</t>
  </si>
  <si>
    <t>1- Em uma panela, adicione a água e espere chegar a 80°C</t>
  </si>
  <si>
    <t>2 - Adicione a erva mate e deixe infusionando por 4 minutos com tampa fechada</t>
  </si>
  <si>
    <t xml:space="preserve">3- Coar com o auxílio de um chinoi ou filtro de papel </t>
  </si>
  <si>
    <t>Guarnição: Spaghetti de jabuticaba e coentro</t>
  </si>
  <si>
    <t>4- Armazenar e reservar</t>
  </si>
  <si>
    <t>AR MOLECULAR DE ERVA MATE VERDE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</si>
  <si>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</si>
  <si>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t>Infusão de erva mate verde</t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</si>
  <si>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</si>
  <si>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t>Licor de laranja</t>
  </si>
  <si>
    <t>Gin</t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</si>
  <si>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</si>
  <si>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t>Lecitina de soja</t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</si>
  <si>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</si>
  <si>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t>Água de coco</t>
  </si>
  <si>
    <t>Solução ácida de coentro</t>
  </si>
  <si>
    <t xml:space="preserve">Geléia de damasco </t>
  </si>
  <si>
    <t>bsp</t>
  </si>
  <si>
    <t>1- Em um recipiente adequado, adicione todos os ingredientes</t>
  </si>
  <si>
    <t>Suco de jabuticaba</t>
  </si>
  <si>
    <t>2- Com o auxílio de um mixing portátil,  bata  até formar um espuma/ar</t>
  </si>
  <si>
    <t>SODA DE UVA VERDE CLARIFICADA</t>
  </si>
  <si>
    <t>3- Introduza a mangueira da bomba de ar sobre a receita</t>
  </si>
  <si>
    <t>4- Aguarde a emulsão e sirva com o auxílio de um julep</t>
  </si>
  <si>
    <t xml:space="preserve">Uva verde sem semente </t>
  </si>
  <si>
    <t>Àgua filtrada</t>
  </si>
  <si>
    <r>
      <rPr>
        <rFont val="Aptos Narrow"/>
        <b/>
        <color theme="1"/>
        <sz val="11.0"/>
      </rPr>
      <t>1-</t>
    </r>
    <r>
      <rPr>
        <rFont val="Aptos Narrow"/>
        <color theme="1"/>
        <sz val="11.0"/>
      </rPr>
      <t xml:space="preserve"> </t>
    </r>
  </si>
  <si>
    <t>Pectinase</t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</si>
  <si>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</si>
  <si>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t>Ácido Málico</t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</si>
  <si>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</si>
  <si>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</si>
  <si>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t>SOLUÇÃO ÁCIDA DE COENTRO</t>
  </si>
  <si>
    <t>1- Triturar uvas no liquidificador</t>
  </si>
  <si>
    <t>Coentro fresco</t>
  </si>
  <si>
    <t>2- Adicionar água e bater por 2 minutos</t>
  </si>
  <si>
    <t>3- Adicionar pectinase, mexer e deixar descansar por 45 min</t>
  </si>
  <si>
    <t>4- Filtrar com o Auxílio de um filtro de papel</t>
  </si>
  <si>
    <t>Acido málico</t>
  </si>
  <si>
    <t>5- Ajustar acidez se necessário</t>
  </si>
  <si>
    <t>Acido cítrico</t>
  </si>
  <si>
    <t>6 - Carbonatar</t>
  </si>
  <si>
    <t>sal</t>
  </si>
  <si>
    <t>0.5</t>
  </si>
  <si>
    <t>CLUSTER DE UVA VERDE SEMI DESIDRATADA</t>
  </si>
  <si>
    <t>Uva verde sem semente</t>
  </si>
  <si>
    <t>1- Bater no liquidificador o coentro com água</t>
  </si>
  <si>
    <t>2- Fazer uma coagem fina</t>
  </si>
  <si>
    <t>1- Desidratar em forno a 75° por 3 horas</t>
  </si>
  <si>
    <t>3- Dissolver ácidos</t>
  </si>
  <si>
    <t>2- Retirar quando perder 20 - 30 % do peso</t>
  </si>
  <si>
    <t>3 - Finalizar com spray de solução ácido málico</t>
  </si>
  <si>
    <t>4- Descansar 15 minutos</t>
  </si>
  <si>
    <t>4- Montar em palito curto</t>
  </si>
  <si>
    <t>5- Coar novamente se necessário</t>
  </si>
  <si>
    <t>SOLUÇÃO ÁCIDO MÁLICO</t>
  </si>
  <si>
    <t>Ácido málico</t>
  </si>
  <si>
    <t>Suco de jabuticaba clarificado</t>
  </si>
  <si>
    <t>Jabuticaba in natura</t>
  </si>
  <si>
    <t>1- Dissolver</t>
  </si>
  <si>
    <t>pectinase</t>
  </si>
  <si>
    <t>2- Transferir para borrifador fino</t>
  </si>
  <si>
    <t xml:space="preserve">Àgua filtrada </t>
  </si>
  <si>
    <t xml:space="preserve">1- Proecesar a fruta no liquidificador </t>
  </si>
  <si>
    <t>2- Adicionar água e bater de novo</t>
  </si>
  <si>
    <t>3 - Fazer filtragem com chinoi ou voil</t>
  </si>
  <si>
    <t>4 - Adicionar pectinase e misturar, aguardar por no minímo 1 hora ou até notar separação de sólidos</t>
  </si>
  <si>
    <t>5- Fazer filtragem em filtro de papel  (importante colocar de volta primeiros 100 ml de volta )</t>
  </si>
  <si>
    <t>SPAGHETTI DE JABUTICABA</t>
  </si>
  <si>
    <t>Agar-agar</t>
  </si>
  <si>
    <t>1- Aquecer o suco com agar-agar até levantar fervura</t>
  </si>
  <si>
    <t>2- Manter fervura breve por 30 segundos</t>
  </si>
  <si>
    <t>3- Puxar seringa ou bolsa de confeitar</t>
  </si>
  <si>
    <t xml:space="preserve">4- Extrusar em água muito fria para formar fios </t>
  </si>
  <si>
    <t>5- Reservar drenado</t>
  </si>
  <si>
    <t>Autoral 6</t>
  </si>
  <si>
    <t xml:space="preserve">Guarnição: Esponja de laranja e mel </t>
  </si>
  <si>
    <t xml:space="preserve">Modalidade: </t>
  </si>
  <si>
    <t>Ramazzotti Rosato</t>
  </si>
  <si>
    <t>Vermute la finca</t>
  </si>
  <si>
    <t>Chá de hibisco</t>
  </si>
  <si>
    <t>Esponja comestivel</t>
  </si>
  <si>
    <r>
      <rPr>
        <rFont val="Aptos Narrow"/>
        <b/>
        <color theme="1"/>
        <sz val="11.0"/>
      </rPr>
      <t>2-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</si>
  <si>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3-</t>
    </r>
    <r>
      <rPr>
        <rFont val="Aptos Narrow"/>
        <color theme="1"/>
        <sz val="11.0"/>
      </rPr>
      <t xml:space="preserve"> </t>
    </r>
  </si>
  <si>
    <r>
      <rPr>
        <rFont val="Aptos Narrow"/>
        <b/>
        <color theme="1"/>
        <sz val="11.0"/>
      </rPr>
      <t>4-</t>
    </r>
    <r>
      <rPr>
        <rFont val="Aptos Narrow"/>
        <color theme="1"/>
        <sz val="11.0"/>
      </rPr>
      <t xml:space="preserve"> </t>
    </r>
  </si>
  <si>
    <t>CHÁ DE HIBISCO</t>
  </si>
  <si>
    <t>Pisco Sour</t>
  </si>
  <si>
    <t xml:space="preserve">Hibisco </t>
  </si>
  <si>
    <t xml:space="preserve">Categoria: </t>
  </si>
  <si>
    <t>Àgua mineral</t>
  </si>
  <si>
    <t>Modalidade: Batido /  Dupla filtragem</t>
  </si>
  <si>
    <t>1- Aquecer água a 85-90°C (sem fervura vigorosa)</t>
  </si>
  <si>
    <t>2- Adicionar hibisco</t>
  </si>
  <si>
    <t>3- Infundir por 4 minutos</t>
  </si>
  <si>
    <t>4- Coar imediatamente</t>
  </si>
  <si>
    <t xml:space="preserve">5- Resfriar em banho de gelo </t>
  </si>
  <si>
    <t>6- Manter refrigerado</t>
  </si>
  <si>
    <t>ESPONJA COMESTÍVEL</t>
  </si>
  <si>
    <t>Óleo neutro</t>
  </si>
  <si>
    <t>farinha de trigo</t>
  </si>
  <si>
    <t>açucar refinado</t>
  </si>
  <si>
    <t>Sumo Laranja bahia</t>
  </si>
  <si>
    <t>Colorante de comida vermelho</t>
  </si>
  <si>
    <t>Mel</t>
  </si>
  <si>
    <t>1 - Misturar todos os ingredientes</t>
  </si>
  <si>
    <t>2- Bater até completar homoheneização</t>
  </si>
  <si>
    <t>3 - Coar</t>
  </si>
  <si>
    <t>4- Colocar em sifão</t>
  </si>
  <si>
    <t>5- Duas cargas de n2o</t>
  </si>
  <si>
    <t>6- Descansar refrigerado por 30 minutos</t>
  </si>
  <si>
    <t>7 - Aplicar em copos perfurados</t>
  </si>
  <si>
    <t>8- Microondas por aproximadamente 40 segundos (ajustar conforme potência)</t>
  </si>
  <si>
    <t>9- Resfriar de cabeça pra baixo</t>
  </si>
  <si>
    <t>10- Cortar em pedaços orgânicos</t>
  </si>
  <si>
    <t xml:space="preserve">Dark Lady </t>
  </si>
  <si>
    <t>Categoria: espumante</t>
  </si>
  <si>
    <t>Guarnição: Folha de Hortelã</t>
  </si>
  <si>
    <t>Modalidade: Batido / dupla filtragem/ Top up espumante</t>
  </si>
  <si>
    <t xml:space="preserve">Guarnição: Crusta de Açucar cristal / Zest de laranja bahia </t>
  </si>
  <si>
    <t>Copo: Taça Coupe Horizon</t>
  </si>
  <si>
    <t xml:space="preserve">Copo: Taça Flute baixa </t>
  </si>
  <si>
    <t>Ciroc Redberry Vodka</t>
  </si>
  <si>
    <t xml:space="preserve">Licor de jabuticaba </t>
  </si>
  <si>
    <t xml:space="preserve">Espumante salton brut </t>
  </si>
  <si>
    <t xml:space="preserve">1 - Com a taça gelada, seque e a borda e verta em um pouco de xarope de açucar </t>
  </si>
  <si>
    <t xml:space="preserve">2 - Cruste com açucar cristal apenas na metade </t>
  </si>
  <si>
    <t xml:space="preserve">3 - Adicione Ciroc e licor e mexa levemente </t>
  </si>
  <si>
    <t>4 - Verta o espumante lentamente e sirva imediatamente</t>
  </si>
  <si>
    <t xml:space="preserve">5 - Não preencha até o fim da taça, deixe espaço para não derramar </t>
  </si>
  <si>
    <t xml:space="preserve">6 - Finalize com um zest desenhado de laranja bahia </t>
  </si>
  <si>
    <t xml:space="preserve">Mix de frutas amarelas </t>
  </si>
  <si>
    <t xml:space="preserve">Urca </t>
  </si>
  <si>
    <t>Guarnição:  Zest de limão siciliano</t>
  </si>
  <si>
    <t xml:space="preserve">Copo: Taça flute </t>
  </si>
  <si>
    <t xml:space="preserve">Espumante Rosé </t>
  </si>
  <si>
    <t>Espumante Brut</t>
  </si>
  <si>
    <t>Xarope de camomila</t>
  </si>
  <si>
    <t xml:space="preserve">Maracujá </t>
  </si>
  <si>
    <t xml:space="preserve">Coado sem semente </t>
  </si>
  <si>
    <t xml:space="preserve">Xarope de camomila </t>
  </si>
  <si>
    <t xml:space="preserve">Camomila </t>
  </si>
  <si>
    <t xml:space="preserve">KG </t>
  </si>
  <si>
    <t xml:space="preserve">Água mineral </t>
  </si>
  <si>
    <t>1 - Na panela, adicione a água junto do açucar</t>
  </si>
  <si>
    <t xml:space="preserve">2 - Quando o açucar estiver completamente diluido acrescente as 50 gr de  camomila </t>
  </si>
  <si>
    <t>Mojito do agreste</t>
  </si>
  <si>
    <t xml:space="preserve">3 - Deixe em fogo baixo por aproximadamente 15 minutos </t>
  </si>
  <si>
    <t>4 - Coe e passe para uma garrada previamente higienizada</t>
  </si>
  <si>
    <t>Guarniçõo: Ramo fresco de hortelã</t>
  </si>
  <si>
    <t xml:space="preserve">5 - Etiquete e reserve </t>
  </si>
  <si>
    <t>Modalidade:  Batido / dupla filtragem / top up                    -</t>
  </si>
  <si>
    <t xml:space="preserve">Cachaça de jequitibá </t>
  </si>
  <si>
    <t>Polpa de graviola</t>
  </si>
  <si>
    <t>Folhas de Hortelã</t>
  </si>
  <si>
    <t>sumo de limão tahiti</t>
  </si>
  <si>
    <t xml:space="preserve">Água com gás </t>
  </si>
  <si>
    <t>1 - Na coqueteleira, adicione a graviola, hortelã, limão, açucar e a cachaça com 6 cubos de gelo</t>
  </si>
  <si>
    <t>2 - Bata vigorosamente e filtre num copo longo previamente resfriado e com gelo</t>
  </si>
  <si>
    <t>3 - Finalize com água com gás e guarneça com um belo ramo de hortelã</t>
  </si>
  <si>
    <t xml:space="preserve">Polpa de graviola </t>
  </si>
  <si>
    <t>descongelada</t>
  </si>
  <si>
    <t xml:space="preserve">Cafuné </t>
  </si>
  <si>
    <t>1 - Com a polpa descongelada, bata no liquidificador por 1 minuto</t>
  </si>
  <si>
    <t>2 - Coe com o auxílio de um chinoi e reserve em uma garrafa previamente higienizada</t>
  </si>
  <si>
    <t xml:space="preserve">3 - Etiquete e reserve </t>
  </si>
  <si>
    <t xml:space="preserve">Guarnição: Lascas de coco / raspas de rapadura </t>
  </si>
  <si>
    <t>Pop cool</t>
  </si>
  <si>
    <t xml:space="preserve">Modalidade: Batido/ Britado </t>
  </si>
  <si>
    <t>Copo: Diamante / Cristal</t>
  </si>
  <si>
    <t>Categoria: frutado, refrescante, especiárias</t>
  </si>
  <si>
    <t xml:space="preserve">Guarnição: Pequeno talo de aipo </t>
  </si>
  <si>
    <t>Modalidade: Batido / Dupla filtragem</t>
  </si>
  <si>
    <t xml:space="preserve">Cachaça inf/ lascas de coco </t>
  </si>
  <si>
    <t>Copo: On the rocks (Gelo maciço)</t>
  </si>
  <si>
    <t>Chá de melissa</t>
  </si>
  <si>
    <t>Orange bitter</t>
  </si>
  <si>
    <t>lances</t>
  </si>
  <si>
    <t>No dasher 1 lance equivale a 2 lances</t>
  </si>
  <si>
    <t xml:space="preserve">Xarope de rapadura </t>
  </si>
  <si>
    <t>Tequila El jimador prata</t>
  </si>
  <si>
    <t xml:space="preserve">Talo de aipo </t>
  </si>
  <si>
    <t>1 - Adicione todos os ingredientes na coqueteleira com 8 cubos de gelo</t>
  </si>
  <si>
    <t>2 - Bata vigorasamente por 8 segundos e faça um coagem simples no copo cristal previamente resfriado</t>
  </si>
  <si>
    <t>Melaço de cana</t>
  </si>
  <si>
    <t xml:space="preserve">3 - Brite 6 pedras de gelo e cubra o restante do copo </t>
  </si>
  <si>
    <t xml:space="preserve">4 - Finalize com as lascas de coco na parte lateral e as raspas de rapadura no centro </t>
  </si>
  <si>
    <t>Cravo</t>
  </si>
  <si>
    <t xml:space="preserve">Chá de melissa </t>
  </si>
  <si>
    <t xml:space="preserve">Bitter meza </t>
  </si>
  <si>
    <t>1 - Melissa seca</t>
  </si>
  <si>
    <t>2 - Água mineral</t>
  </si>
  <si>
    <t xml:space="preserve">1 - Na coqueteleira, amasse o talo de aipo com a tequila </t>
  </si>
  <si>
    <t>2 - Adicione os ingredientes restantes com mais 8 pedras de gelo e bata vigorosamente por no minimo 8 segundos</t>
  </si>
  <si>
    <t>3 - Faça um dupla filtragem para um copo on the rocks com gelo maciço</t>
  </si>
  <si>
    <t xml:space="preserve">4 - Guarneça com um pequeno talo de aipo </t>
  </si>
  <si>
    <t xml:space="preserve">1 - Adicionar a melissa seca a água em ponto de fervura </t>
  </si>
  <si>
    <t xml:space="preserve">Bitter Meza </t>
  </si>
  <si>
    <t xml:space="preserve">2 - Abafar por 3 minutos e coar com o auxílio de um chinoi ou voil </t>
  </si>
  <si>
    <t>3 - Esperar esfirar e armazenar em garrafa previamente higienizada</t>
  </si>
  <si>
    <t>4 - Etiquetar e reservar</t>
  </si>
  <si>
    <t>1 - Cachaça prata</t>
  </si>
  <si>
    <t xml:space="preserve">2 - Casca de cajueiro </t>
  </si>
  <si>
    <t>1 - Rapadura</t>
  </si>
  <si>
    <t xml:space="preserve">2 - Água mineral </t>
  </si>
  <si>
    <t>1 - Em uma garrafa previamente higienizada, adicione a cachaça junto a casca de cajueiro</t>
  </si>
  <si>
    <t xml:space="preserve">2 - Deixe e maceração por no minimo 30 dias </t>
  </si>
  <si>
    <t>3 - Etiquete e reserve</t>
  </si>
  <si>
    <t>1 - Em uma panela, misture os ingredientes em fogo baixo até que a rapadura derreta e se torne homogeneo</t>
  </si>
  <si>
    <t xml:space="preserve">Ägua de melaço de cana </t>
  </si>
  <si>
    <t>2 - Esperar esfriar e armazenar em uma garrafa previamente higienizada ou saco a vácuo</t>
  </si>
  <si>
    <t xml:space="preserve">3 - Etiquetar e reservar </t>
  </si>
  <si>
    <t xml:space="preserve">1 - Melaço de cana </t>
  </si>
  <si>
    <t>2 - Água filtrda</t>
  </si>
  <si>
    <t xml:space="preserve">1 - Em uma panela, misture os ingredientes em fogo baixo até ficar homogêneo </t>
  </si>
  <si>
    <t>2 -Armazene em um saco a vácuo ou garrafa higienizada</t>
  </si>
  <si>
    <t>Bonfim</t>
  </si>
  <si>
    <t>Guarnição: Fita de bonfim / Pimenta malagueta</t>
  </si>
  <si>
    <t xml:space="preserve">Modalidade: Batido / Dupla Filtragem </t>
  </si>
  <si>
    <t xml:space="preserve">Vodka (atualmente nuda) </t>
  </si>
  <si>
    <t>Suco de cranberry</t>
  </si>
  <si>
    <t>Xarope de cranberry</t>
  </si>
  <si>
    <t xml:space="preserve">Xarope de pimenta </t>
  </si>
  <si>
    <t>Abacaxi in natura</t>
  </si>
  <si>
    <t>Maracujá</t>
  </si>
  <si>
    <t xml:space="preserve">Coado (sem semente) </t>
  </si>
  <si>
    <t xml:space="preserve">1 - Adicione todos os ingredientes na coqueteleira com 6 cubos de gelo e bata vigorosamente por 8 segundos </t>
  </si>
  <si>
    <t>2 - Faça uma dupla filtragem para um copo long drink previamente resfriado</t>
  </si>
  <si>
    <t>3 - Guarneça com a fita de bonfim sob o canudo e a pimenta</t>
  </si>
  <si>
    <t>1 - Xarope de cranberry</t>
  </si>
  <si>
    <t xml:space="preserve">2 - Água filtrada </t>
  </si>
  <si>
    <t>1 - Mistures os ingredientes e armazene em uma garrafa previamente higienizada</t>
  </si>
  <si>
    <t xml:space="preserve">2 - Etiquete e reserve </t>
  </si>
  <si>
    <t xml:space="preserve">Santa Bárbara </t>
  </si>
  <si>
    <t>1- Pimenta dedo-de-moça</t>
  </si>
  <si>
    <t xml:space="preserve">2 - Xarope simples </t>
  </si>
  <si>
    <t xml:space="preserve">Guarnição: Espuma de gengibre </t>
  </si>
  <si>
    <t xml:space="preserve">1 - Retire as sementes da pimenta </t>
  </si>
  <si>
    <t>Copo: Cristal / diamante</t>
  </si>
  <si>
    <t>2 - Adiciona os ingredientes no liquidificador e bata os ingredientes por 2 minutos</t>
  </si>
  <si>
    <t>3 - Coe com um auxílio de um chinoi ou um voil</t>
  </si>
  <si>
    <t>4 - Armazenar em garrafa previamente higienizada ou saco a vácuo</t>
  </si>
  <si>
    <t xml:space="preserve">5 - Etiquetar e reservar </t>
  </si>
  <si>
    <t>Geléia de morango</t>
  </si>
  <si>
    <t>Bonfim mix</t>
  </si>
  <si>
    <t xml:space="preserve">Espuma de gengibre </t>
  </si>
  <si>
    <t xml:space="preserve">1 - Xarope de cranberry </t>
  </si>
  <si>
    <t>2 - Xarope de pimenta</t>
  </si>
  <si>
    <t xml:space="preserve">Santa cruz julep </t>
  </si>
  <si>
    <t xml:space="preserve">1 - Na coqueteleira, adicione gin, geléia e limão </t>
  </si>
  <si>
    <t>2 - Bata vigorosamente com 8 pedras de gelo por 8 segundos</t>
  </si>
  <si>
    <t xml:space="preserve">Guarnição: Ramo de hortelã / flores de camomila </t>
  </si>
  <si>
    <t xml:space="preserve">3 - Faça uma coagem simples para um copo cristal previamente higienizado </t>
  </si>
  <si>
    <t xml:space="preserve">4 - Finalize com a espuma de gengibre </t>
  </si>
  <si>
    <t>Modalidade: Montado / Britado</t>
  </si>
  <si>
    <t>2 dedos</t>
  </si>
  <si>
    <t xml:space="preserve">Copo: Caneca de inox ou cobre </t>
  </si>
  <si>
    <t xml:space="preserve">1 - Misture os ingredientes e armazene em uma garrafa previamente higienizada ou saco a vácuo </t>
  </si>
  <si>
    <t xml:space="preserve">1 - Morango </t>
  </si>
  <si>
    <t>Bulleit Whiskey</t>
  </si>
  <si>
    <t>2 - Água filtrada</t>
  </si>
  <si>
    <t>3 - Açucar refinado</t>
  </si>
  <si>
    <t xml:space="preserve">4 - Pele de limão siciliano </t>
  </si>
  <si>
    <t>Em torno de 4 limões sicilianos</t>
  </si>
  <si>
    <t>Hortelã</t>
  </si>
  <si>
    <t>folhas</t>
  </si>
  <si>
    <t xml:space="preserve">1 - Higienizar os morangos e bater com água no liquidificador por 2 min </t>
  </si>
  <si>
    <t xml:space="preserve">Carcará </t>
  </si>
  <si>
    <t xml:space="preserve">1 - Na caneca, coloque as 12 folhas de hortelã e amasse levemente </t>
  </si>
  <si>
    <t>2 - Levar ao fogo e deixar ferver por 10 minutos e adicionar o açucar</t>
  </si>
  <si>
    <t xml:space="preserve">2 - Acrescente o bulleit, gelo cubo e mexa delicadamente </t>
  </si>
  <si>
    <t xml:space="preserve">3 - Depois de 15 minutos de fogo baixo, comece a retirar a espuma branca com o auxílio de uma peneira </t>
  </si>
  <si>
    <t>4 - Quando chegar na textura de purê, adicionar pele de sicilano, deixe ferver por mais 10 minutos, após esfriar retire as peles</t>
  </si>
  <si>
    <t>3 - Complete com o xarope de camomila, limão e gelo britado</t>
  </si>
  <si>
    <t xml:space="preserve">4 - Finalize com um ramo de hortelã e flores de camomila, sirva com canudo </t>
  </si>
  <si>
    <t xml:space="preserve">Modalidade: Mexido </t>
  </si>
  <si>
    <t xml:space="preserve">5 - Espere esfriar e armazene em um saco a vácuo </t>
  </si>
  <si>
    <t xml:space="preserve">6 - Etiquete e reserve </t>
  </si>
  <si>
    <t>Copo: On the rocks (gelo maciço)</t>
  </si>
  <si>
    <t xml:space="preserve">1 - Gengibre </t>
  </si>
  <si>
    <t xml:space="preserve">Vinagre de maçã </t>
  </si>
  <si>
    <t xml:space="preserve">3 - Sumo de limão tahiti </t>
  </si>
  <si>
    <t>Jim Beam white</t>
  </si>
  <si>
    <t xml:space="preserve">4 - folha de gelatina </t>
  </si>
  <si>
    <t xml:space="preserve">vermute seco </t>
  </si>
  <si>
    <t xml:space="preserve">5 - Açucar refinado </t>
  </si>
  <si>
    <t>vermute bianco</t>
  </si>
  <si>
    <t xml:space="preserve">Cynar </t>
  </si>
  <si>
    <t xml:space="preserve">1 - Bater o gengibre com água no liquidificador por 2 minutos e levar ao fogo </t>
  </si>
  <si>
    <t>2 - Após ferver, deixar 15 minutos em fogo baixo, adicionar o açucar e homogeneizar</t>
  </si>
  <si>
    <t xml:space="preserve">3 - Colocar as folhas de gelatina em água gelada para hidratar </t>
  </si>
  <si>
    <t xml:space="preserve">4 - Retirar o gengibre do fogo e realizar uma coagem tripla com o auxílio de um chinoi ou voil </t>
  </si>
  <si>
    <t xml:space="preserve">1 -  Verta o vinagre no mixing glass previamente resfriado e faça uma "lavagem"no gelo , dispense o vinagre </t>
  </si>
  <si>
    <t>6 - Diluir gelatina na base ainda quente e por fim, adicionar sumo de limão bem coado</t>
  </si>
  <si>
    <t xml:space="preserve">6 - Armazenar em saco a vácuo </t>
  </si>
  <si>
    <t xml:space="preserve">2 - Adicione os ingredientes no mixing glass, adicione gelo e mexa de 10 a 15 segundos </t>
  </si>
  <si>
    <t xml:space="preserve">7 - Etiquete.e reserve </t>
  </si>
  <si>
    <t>3 - Faça uma filtragem simples com um strainer e passe para um copo baixo previamente resfriado com gelo maciço</t>
  </si>
  <si>
    <t xml:space="preserve">4 - Finalize com aromatização e decoração de zest de laranja bahia </t>
  </si>
  <si>
    <t xml:space="preserve">Roselle </t>
  </si>
  <si>
    <t xml:space="preserve">Guarnição: Pétala de rosa e zest de siciliano </t>
  </si>
  <si>
    <t xml:space="preserve">Modalidade: Montado </t>
  </si>
  <si>
    <t xml:space="preserve">Copo: Taça barone </t>
  </si>
  <si>
    <t>Gin arpo</t>
  </si>
  <si>
    <t xml:space="preserve">ml </t>
  </si>
  <si>
    <t xml:space="preserve">Sumo de limão siciliano </t>
  </si>
  <si>
    <t>Xarope de rosas</t>
  </si>
  <si>
    <t xml:space="preserve">Chá de hibisco </t>
  </si>
  <si>
    <t xml:space="preserve">Água Tönica </t>
  </si>
  <si>
    <t xml:space="preserve">1 - Em uma Taça previamente resfriada e com gelo, adicione os insumos deixando a t6onica por último </t>
  </si>
  <si>
    <t xml:space="preserve">2 - Mexa levemente pra deixar homogêneo </t>
  </si>
  <si>
    <t>3 - Guarneça e sirva</t>
  </si>
  <si>
    <t xml:space="preserve">Roselle Mix </t>
  </si>
  <si>
    <t xml:space="preserve">1 - Chá de hibisco </t>
  </si>
  <si>
    <t xml:space="preserve">2 - Xarope de rosas </t>
  </si>
  <si>
    <t xml:space="preserve">1 - Misture os ingredientes, armazenar em um saco a vácuo, etiquetar e reservar </t>
  </si>
  <si>
    <t xml:space="preserve">Pré Batch Roselle </t>
  </si>
  <si>
    <t xml:space="preserve">1 - Roselle mix </t>
  </si>
  <si>
    <t xml:space="preserve">2 - Gin Arpo </t>
  </si>
  <si>
    <t>3 - Água Tônica</t>
  </si>
  <si>
    <t>1 - Adicione os ingredientes menos o limão em uma garrafa Preshh 2 lts</t>
  </si>
  <si>
    <t xml:space="preserve">Hunny Bunny </t>
  </si>
  <si>
    <t xml:space="preserve">Guarnição:  Espuma de mel e mel in natura </t>
  </si>
  <si>
    <t>Modalidade: Batido / Filtragem simples</t>
  </si>
  <si>
    <t>Copo: Caneca ice cold Hunny Bunny</t>
  </si>
  <si>
    <t xml:space="preserve">Gin </t>
  </si>
  <si>
    <t xml:space="preserve">Polpa de Acerola </t>
  </si>
  <si>
    <t>Suco de maçã</t>
  </si>
  <si>
    <t xml:space="preserve">Espuma de mel </t>
  </si>
  <si>
    <t xml:space="preserve">1 - Adicione todos os ingredientes na coqueteleira menos a espuma </t>
  </si>
  <si>
    <t>2 - Bata vigorosamente por 8 segundos e faça um filtragem dupla na caneca de vidro previamente resfriada</t>
  </si>
  <si>
    <t xml:space="preserve">3 - Finalize com a espuma de mel e um fio de mel circular sobre a espuma </t>
  </si>
  <si>
    <t xml:space="preserve">Pré Batch hunny bunny </t>
  </si>
  <si>
    <t>1 - Gin</t>
  </si>
  <si>
    <t>2 - Suco de maçã</t>
  </si>
  <si>
    <t xml:space="preserve">3 - Polpa de acerola </t>
  </si>
  <si>
    <t xml:space="preserve">4 - Água de mel </t>
  </si>
  <si>
    <t xml:space="preserve">1 - Misture todos os ingredientes até ficar homogêneo </t>
  </si>
  <si>
    <t xml:space="preserve">Limão vai na coqueteleira </t>
  </si>
  <si>
    <t xml:space="preserve">2 - Armazene em sacos a vácuo, etiquete e reserve </t>
  </si>
  <si>
    <t xml:space="preserve">2- Faça 3 ciclos de carbonatações colocando 5 pedras de gelo na garrafa </t>
  </si>
  <si>
    <t xml:space="preserve">Água de mel </t>
  </si>
  <si>
    <t xml:space="preserve">3 - Armazenar, etiquetar e reservar </t>
  </si>
  <si>
    <t xml:space="preserve">1 - Mel orgânico </t>
  </si>
  <si>
    <t>1 - Misture todos os ingredientes em uma panela com fogo baixo até que o mel derreta e o liquído se torne homogêneo</t>
  </si>
  <si>
    <t xml:space="preserve">2- Armazene em um saco a vácuo, etiquete e reserve </t>
  </si>
  <si>
    <t>Espuma de mel</t>
  </si>
  <si>
    <t>1 - Mel orgânico</t>
  </si>
  <si>
    <t>4 - Emulsificante</t>
  </si>
  <si>
    <t>1 - Bater todos os ingredientes no liquidificador por 5 minutos</t>
  </si>
  <si>
    <t xml:space="preserve">2 - Armazenar em sacos a vácuo em porção de 1 litro </t>
  </si>
  <si>
    <t xml:space="preserve">4 - No sifão, adicionar duas cápsulas de no2, agite bem </t>
  </si>
  <si>
    <t>Tupi or not</t>
  </si>
  <si>
    <t xml:space="preserve">Guarnição: Gema de jambu </t>
  </si>
  <si>
    <t xml:space="preserve">Modalidade: Batido / dupla filtragem </t>
  </si>
  <si>
    <t xml:space="preserve">Copo: Taça coupe </t>
  </si>
  <si>
    <t xml:space="preserve">Gin inf/ com jambú </t>
  </si>
  <si>
    <t xml:space="preserve">Xarope simples </t>
  </si>
  <si>
    <t xml:space="preserve">1 - Na coqueteleira com 8 cubos de gelo, adicione todos os ingredientes a bata vigorosamente por 8 segundos </t>
  </si>
  <si>
    <t xml:space="preserve">2 - Faça uma dupla filtragem para uma taça coupe previamente resfriada </t>
  </si>
  <si>
    <t>3 - Finalize com a gema de jambú</t>
  </si>
  <si>
    <t xml:space="preserve">Gin inf/ flor de jambú </t>
  </si>
  <si>
    <t xml:space="preserve">Flor de jambú </t>
  </si>
  <si>
    <t xml:space="preserve">1 - Em uma garrafa preshh 1 litro,  adicione a flor com o gin </t>
  </si>
  <si>
    <t xml:space="preserve">2 -Faça a carbonatação de 3 ciclos e reserve por 24 horas </t>
  </si>
  <si>
    <t xml:space="preserve">3000 lirás </t>
  </si>
  <si>
    <t>3 - Com o auxílio de uma peneira, filtre o liquído para uma garrafa previamente higienizada</t>
  </si>
  <si>
    <t xml:space="preserve">4 - Etiquete e reserve </t>
  </si>
  <si>
    <t xml:space="preserve">Gema de jambú </t>
  </si>
  <si>
    <t xml:space="preserve">Guarnição: Folha de manjericão </t>
  </si>
  <si>
    <t>1 - Flor de jambú</t>
  </si>
  <si>
    <t>3 - Xarope simples</t>
  </si>
  <si>
    <t xml:space="preserve">4 - Alginato de sódio </t>
  </si>
  <si>
    <t>processo de esferificação</t>
  </si>
  <si>
    <t xml:space="preserve">Espumante brut </t>
  </si>
  <si>
    <t xml:space="preserve">5 - Cloreto de cálcio </t>
  </si>
  <si>
    <t>6 - Base de jambú</t>
  </si>
  <si>
    <t>7 - Água filtrada</t>
  </si>
  <si>
    <t>Morango</t>
  </si>
  <si>
    <t>4 und de morango</t>
  </si>
  <si>
    <t xml:space="preserve">Lichia </t>
  </si>
  <si>
    <t>2 und de lichia</t>
  </si>
  <si>
    <t>Manjericão</t>
  </si>
  <si>
    <t>6 folhas de manjericão</t>
  </si>
  <si>
    <t>1 - No liquidificador, adicione jambú, água, xarope simples e bata por 1 minuto</t>
  </si>
  <si>
    <t>2 - Faça uma filtragem tripla</t>
  </si>
  <si>
    <t xml:space="preserve">3 - Reserve e etiquete </t>
  </si>
  <si>
    <t xml:space="preserve">4 - Para a esferificação, misture 200 ml da base de jambú com 1 gr de alginato de sódio </t>
  </si>
  <si>
    <t>1 - Na coqueteleira, adicione os ingredientes menos o espumante</t>
  </si>
  <si>
    <t xml:space="preserve">2- Macere bem, adicione 8 cubos de gelo e nata vigorosamente </t>
  </si>
  <si>
    <t xml:space="preserve">Milestones </t>
  </si>
  <si>
    <t xml:space="preserve">5 - Misture 300 ml de água com 3 gr de cloreto de cálcio </t>
  </si>
  <si>
    <t xml:space="preserve">3 - Faça um dupla filtragem para uma taça flute previamente resfriada </t>
  </si>
  <si>
    <t>6 - Coloque a base de jambú em uma bisnaga ou seringa</t>
  </si>
  <si>
    <t>4 - Complete delicadamente com o espumante</t>
  </si>
  <si>
    <t>7 - Com uma bailarina delicadamente, faça uma imersão devagar da base e deixe agir  na água com cálcio por 2 minutos</t>
  </si>
  <si>
    <t xml:space="preserve">8 - retirar com o auxílio de um julep e dar uma banho em água gelada para retirar sódio e estabilizar as moléculas </t>
  </si>
  <si>
    <t>5 - Não guarneça</t>
  </si>
  <si>
    <t xml:space="preserve">Guarnição: Limão tahiti desidratado </t>
  </si>
  <si>
    <t xml:space="preserve">9 - Retirar do banho com o julep e colocar no centro do drink </t>
  </si>
  <si>
    <t xml:space="preserve">Pré batch 3000 lirás </t>
  </si>
  <si>
    <t xml:space="preserve">1 - Espumante brut </t>
  </si>
  <si>
    <t xml:space="preserve">Bacardi 8 anos </t>
  </si>
  <si>
    <t xml:space="preserve">2 - Morango </t>
  </si>
  <si>
    <t>3 - Lichia</t>
  </si>
  <si>
    <t xml:space="preserve">Vinho jerez </t>
  </si>
  <si>
    <t>4 - Manjericão</t>
  </si>
  <si>
    <t xml:space="preserve">30 folhas de manjericão </t>
  </si>
  <si>
    <t>Vermute bianco</t>
  </si>
  <si>
    <t xml:space="preserve">1 - Em um mixing glass previamente resfriado adicione os ingredientes </t>
  </si>
  <si>
    <t>1 - No liquidificador, adicione morango, lichia e manjericão e bata por 1 minuto</t>
  </si>
  <si>
    <t xml:space="preserve">2 - Cubra a receita com gelo e mexa por no minimo 10 segudos </t>
  </si>
  <si>
    <t xml:space="preserve">2 - Com um auxilío de um chinoi ou voil, filtre a receita </t>
  </si>
  <si>
    <t xml:space="preserve">3 - Faça uma filtragem com o strainer para a taça preciamente resfriada </t>
  </si>
  <si>
    <t xml:space="preserve">3 - Em uma garrafa preshh 2 lts, adicione a base feita com 1 garrafa de espumante (750 ML) </t>
  </si>
  <si>
    <t>4 - Guarneça com limão tahiti desidratado</t>
  </si>
  <si>
    <t xml:space="preserve">4 - Adicione 6 pedras de gelo a garrafa e faça 3 ciclos de carbonatacão </t>
  </si>
  <si>
    <t xml:space="preserve">Limõ tahiti desidratado </t>
  </si>
  <si>
    <t xml:space="preserve">Limão tahiti </t>
  </si>
  <si>
    <t xml:space="preserve">1 - Corte o abacaxi em finas rodelas com uma faca afiada (1 cm de expessura) </t>
  </si>
  <si>
    <t xml:space="preserve">2 -  Leve a desidratadora por 7 horas a 65 graus celcius (ou 149 fahrenheit) </t>
  </si>
  <si>
    <t>Avaliar coloracão de desidratação</t>
  </si>
  <si>
    <t xml:space="preserve">3 - Armazene em um saco a vácuo, etiquete e reserve </t>
  </si>
  <si>
    <t xml:space="preserve">Tirar bastante o ar </t>
  </si>
  <si>
    <t xml:space="preserve">Jorge Amado </t>
  </si>
  <si>
    <t>Modalidade:  Batido / dupla filtragem</t>
  </si>
  <si>
    <t xml:space="preserve">Copo: On the rocks </t>
  </si>
  <si>
    <t xml:space="preserve">Guarnição: Canela em pau </t>
  </si>
  <si>
    <t xml:space="preserve">Copo: Americano longo </t>
  </si>
  <si>
    <t xml:space="preserve">Cachaça 7 engenhos prata </t>
  </si>
  <si>
    <t xml:space="preserve">Guarnição: Compota de caju (vai  no fundo do copo) </t>
  </si>
  <si>
    <t>Cachaça Gabrielinha Jambuzada</t>
  </si>
  <si>
    <t>Cachaça ou vodka standard</t>
  </si>
  <si>
    <t xml:space="preserve">Polpa Maracujá </t>
  </si>
  <si>
    <t xml:space="preserve">Sumo Limão tahiti </t>
  </si>
  <si>
    <t xml:space="preserve">Suco de caju industrializado </t>
  </si>
  <si>
    <t>Suco de caixa</t>
  </si>
  <si>
    <t xml:space="preserve">Compota de caju </t>
  </si>
  <si>
    <t xml:space="preserve">gr </t>
  </si>
  <si>
    <t xml:space="preserve">1 -Na coqueteleira, adicone todos os ingredientes </t>
  </si>
  <si>
    <t xml:space="preserve">2 - Adicione 8 pedras de gelo e bata vigorosamente por no mínimo 8 segundos </t>
  </si>
  <si>
    <t>3- Faça um dupla filtragem para um copo baixo previamente resfriado</t>
  </si>
  <si>
    <t>1 - No copo previamente resfriado, adicione a compota de caju em seguida encha o copo com gelo</t>
  </si>
  <si>
    <t xml:space="preserve">4 - Gurneça com um pau de canela </t>
  </si>
  <si>
    <t xml:space="preserve">Corte a canela em lascas </t>
  </si>
  <si>
    <t xml:space="preserve">2  -Adicione todos os ingredientes </t>
  </si>
  <si>
    <t>3 - Mexa delicadamente para não misturar a compota</t>
  </si>
  <si>
    <t>4 - Finalize com uma colher de sopa verticalmente ao copo</t>
  </si>
  <si>
    <t>Bebida</t>
  </si>
  <si>
    <t>Quantiadade da garrafa</t>
  </si>
  <si>
    <t>Preço da garrafa</t>
  </si>
  <si>
    <t>Preço litro</t>
  </si>
  <si>
    <t xml:space="preserve">Custo dos produtos </t>
  </si>
  <si>
    <t xml:space="preserve"> Dose</t>
  </si>
  <si>
    <t>Amareto</t>
  </si>
  <si>
    <t xml:space="preserve">Categoria </t>
  </si>
  <si>
    <t>Custo</t>
  </si>
  <si>
    <t>mkp</t>
  </si>
  <si>
    <t xml:space="preserve">Sugestão de venda </t>
  </si>
  <si>
    <t xml:space="preserve">Preço validado </t>
  </si>
  <si>
    <t xml:space="preserve">Data de saída </t>
  </si>
  <si>
    <t>Motivo</t>
  </si>
  <si>
    <t>Gloribox</t>
  </si>
  <si>
    <t>Bulleit</t>
  </si>
  <si>
    <t>Carpano Bianco</t>
  </si>
  <si>
    <t>Santogold</t>
  </si>
  <si>
    <t>Ciroc Redberry</t>
  </si>
  <si>
    <t>Lemon Pepper</t>
  </si>
  <si>
    <t xml:space="preserve">Back2 black </t>
  </si>
  <si>
    <t>Ginchee</t>
  </si>
  <si>
    <t>Savana 55</t>
  </si>
  <si>
    <t>Gim Arpo</t>
  </si>
  <si>
    <t>Urutu</t>
  </si>
  <si>
    <t xml:space="preserve">Gim Tanqueray </t>
  </si>
  <si>
    <t>Custo provisório do bar</t>
  </si>
  <si>
    <t>Dark Lady</t>
  </si>
  <si>
    <t xml:space="preserve">Gold label </t>
  </si>
  <si>
    <t>Urca</t>
  </si>
  <si>
    <t>Jack Daniels</t>
  </si>
  <si>
    <t xml:space="preserve">Mojito do Agreste </t>
  </si>
  <si>
    <t>Ketel one</t>
  </si>
  <si>
    <t>Pop Cool</t>
  </si>
  <si>
    <t>Cafuné</t>
  </si>
  <si>
    <t>Licor 43</t>
  </si>
  <si>
    <t xml:space="preserve">Licor de Jabuticaba </t>
  </si>
  <si>
    <t>Santa Barbara</t>
  </si>
  <si>
    <t>Licor de pequi</t>
  </si>
  <si>
    <t xml:space="preserve">Limoncello </t>
  </si>
  <si>
    <t>Santa Cruz Julep</t>
  </si>
  <si>
    <t>Madarinetto (licor de tangerina)</t>
  </si>
  <si>
    <t xml:space="preserve">Noilly </t>
  </si>
  <si>
    <t>Jim beam</t>
  </si>
  <si>
    <t>Carcará</t>
  </si>
  <si>
    <t>Salton Brut</t>
  </si>
  <si>
    <t>Glory box</t>
  </si>
  <si>
    <t>Milllestones</t>
  </si>
  <si>
    <t xml:space="preserve">Salton Rose </t>
  </si>
  <si>
    <t>R$</t>
  </si>
  <si>
    <t>Soledade prata</t>
  </si>
  <si>
    <t>HunnyBunny</t>
  </si>
  <si>
    <t>Tequila  El Jimador Prata</t>
  </si>
  <si>
    <t xml:space="preserve">Tupi or not </t>
  </si>
  <si>
    <t xml:space="preserve">preço do litro </t>
  </si>
  <si>
    <t>Tio Pepe</t>
  </si>
  <si>
    <t xml:space="preserve">Custo </t>
  </si>
  <si>
    <t>3000liras</t>
  </si>
  <si>
    <t>Vodka voa</t>
  </si>
  <si>
    <t>Ketel One infusão baunilha</t>
  </si>
  <si>
    <t>Xarope de romã</t>
  </si>
  <si>
    <t xml:space="preserve">Custo do prato </t>
  </si>
  <si>
    <t xml:space="preserve">Uvas rubi </t>
  </si>
  <si>
    <t>g</t>
  </si>
  <si>
    <t>Maça caramelizada</t>
  </si>
  <si>
    <t xml:space="preserve">Tequila El Jimador </t>
  </si>
  <si>
    <t xml:space="preserve"> Licor 43 </t>
  </si>
  <si>
    <t xml:space="preserve">Sumo siciliano </t>
  </si>
  <si>
    <t xml:space="preserve">Maracujá ( sem semente) </t>
  </si>
  <si>
    <t>Back2black</t>
  </si>
  <si>
    <t xml:space="preserve"> Jack daniels com infusão de café</t>
  </si>
  <si>
    <t>Amaretto</t>
  </si>
  <si>
    <t>Mel de camomila</t>
  </si>
  <si>
    <t>5 cravos</t>
  </si>
  <si>
    <t xml:space="preserve">Sumo de Gengibre </t>
  </si>
  <si>
    <t xml:space="preserve"> x. Simples </t>
  </si>
  <si>
    <t xml:space="preserve">Calda de lichia </t>
  </si>
  <si>
    <t>Abacaxi (20 gr)</t>
  </si>
  <si>
    <t xml:space="preserve">Água de coco </t>
  </si>
  <si>
    <t>vodka voa  em infusão de semente de cumarú</t>
  </si>
  <si>
    <t>shrub de caju</t>
  </si>
  <si>
    <t>Suco limão tahiti</t>
  </si>
  <si>
    <t>Raspas de cumarú</t>
  </si>
  <si>
    <t>Folha de bananeira</t>
  </si>
  <si>
    <t>Barbante verde</t>
  </si>
  <si>
    <t xml:space="preserve">urutu </t>
  </si>
  <si>
    <t xml:space="preserve">Polpa Cupuaçu </t>
  </si>
  <si>
    <t>BASE</t>
  </si>
  <si>
    <t xml:space="preserve">Mix frutas amarelas </t>
  </si>
  <si>
    <t xml:space="preserve"> Sumo limão tahiti </t>
  </si>
  <si>
    <t>VODKA</t>
  </si>
  <si>
    <t>GIN</t>
  </si>
  <si>
    <t>RUM</t>
  </si>
  <si>
    <t>CACHAÇA</t>
  </si>
  <si>
    <t>ESPUM.</t>
  </si>
  <si>
    <t>TEQUILA</t>
  </si>
  <si>
    <t>WHISKY</t>
  </si>
  <si>
    <t>BOURBON</t>
  </si>
  <si>
    <t>Marcas</t>
  </si>
  <si>
    <t>GLORY BOX</t>
  </si>
  <si>
    <t>X</t>
  </si>
  <si>
    <t xml:space="preserve">licor de jabuticaba </t>
  </si>
  <si>
    <t>Ketel</t>
  </si>
  <si>
    <t>SANTOGOLD</t>
  </si>
  <si>
    <t xml:space="preserve">Salton </t>
  </si>
  <si>
    <t>GINCHEE</t>
  </si>
  <si>
    <t>Espumante Salton brut</t>
  </si>
  <si>
    <t>Tanqueray</t>
  </si>
  <si>
    <t>BACK2BLACK</t>
  </si>
  <si>
    <t>Jack d</t>
  </si>
  <si>
    <t>LEMON PEPPER</t>
  </si>
  <si>
    <t>El jimador</t>
  </si>
  <si>
    <t>SAVANA 55</t>
  </si>
  <si>
    <t>Voa</t>
  </si>
  <si>
    <t>URUTU</t>
  </si>
  <si>
    <t>Gold label</t>
  </si>
  <si>
    <t>DARK LADY</t>
  </si>
  <si>
    <t>Salton</t>
  </si>
  <si>
    <t xml:space="preserve">Salton rosé </t>
  </si>
  <si>
    <t>URCA</t>
  </si>
  <si>
    <t>MOJITO DO AGRESTE</t>
  </si>
  <si>
    <t>Soledade</t>
  </si>
  <si>
    <t>POP COOL</t>
  </si>
  <si>
    <t>xarope de camomila</t>
  </si>
  <si>
    <t>CAFUNE</t>
  </si>
  <si>
    <t>Maracujá fresco</t>
  </si>
  <si>
    <t>BONFIM</t>
  </si>
  <si>
    <t>ketel</t>
  </si>
  <si>
    <t>Suco de limão siciliano</t>
  </si>
  <si>
    <t>SANTA BARBARA</t>
  </si>
  <si>
    <t>Arpo</t>
  </si>
  <si>
    <t>SANTA CRUZ JULEP</t>
  </si>
  <si>
    <t xml:space="preserve">Mojito do agreste </t>
  </si>
  <si>
    <t>Boulleit</t>
  </si>
  <si>
    <t>CARCARA</t>
  </si>
  <si>
    <t xml:space="preserve">Cachaça 7 engenhos prata L </t>
  </si>
  <si>
    <t>MILESTONES</t>
  </si>
  <si>
    <t>Bacardi 8</t>
  </si>
  <si>
    <t>ROSELLE</t>
  </si>
  <si>
    <t>polpa de graviola</t>
  </si>
  <si>
    <t>HUNNY BUNNY</t>
  </si>
  <si>
    <t xml:space="preserve"> folhas de hortelã</t>
  </si>
  <si>
    <t>TUPI OR NOT</t>
  </si>
  <si>
    <t>tanqueray</t>
  </si>
  <si>
    <t xml:space="preserve"> xarope de açúcar</t>
  </si>
  <si>
    <t>3000 LIRAS</t>
  </si>
  <si>
    <t>suco de limão tahiti</t>
  </si>
  <si>
    <t>Acquamix</t>
  </si>
  <si>
    <t xml:space="preserve">Pop Cool </t>
  </si>
  <si>
    <t>Abacaxi</t>
  </si>
  <si>
    <t>Aipo</t>
  </si>
  <si>
    <t>Melaço</t>
  </si>
  <si>
    <t xml:space="preserve">Suco de limão Tahiti </t>
  </si>
  <si>
    <t>Cravos</t>
  </si>
  <si>
    <t>Bitter Meza</t>
  </si>
  <si>
    <t>Cachaça 7 engenhos prata</t>
  </si>
  <si>
    <t>Melissa</t>
  </si>
  <si>
    <t>Rapadura</t>
  </si>
  <si>
    <t>Bitters</t>
  </si>
  <si>
    <t xml:space="preserve">Bonfim </t>
  </si>
  <si>
    <t>Xarope de pimenta</t>
  </si>
  <si>
    <t>Santa barbara</t>
  </si>
  <si>
    <t>Limão</t>
  </si>
  <si>
    <t>Espuma gengibre</t>
  </si>
  <si>
    <t>Geleia de morango</t>
  </si>
  <si>
    <t xml:space="preserve">Santa Cruz Julep </t>
  </si>
  <si>
    <t xml:space="preserve"> Bulleit </t>
  </si>
  <si>
    <t xml:space="preserve">folhas de hortelã </t>
  </si>
  <si>
    <t>Custo:</t>
  </si>
  <si>
    <t>Carcara</t>
  </si>
  <si>
    <t xml:space="preserve">Bulleit </t>
  </si>
  <si>
    <t>Vinagre Maça</t>
  </si>
  <si>
    <t xml:space="preserve">Millestones </t>
  </si>
  <si>
    <t>Bacardi 8 anos</t>
  </si>
  <si>
    <t>Limão seco</t>
  </si>
  <si>
    <t xml:space="preserve">Gim Arpo </t>
  </si>
  <si>
    <t>xarope de rosas</t>
  </si>
  <si>
    <t>suco de limão siciliano</t>
  </si>
  <si>
    <t>chá de hibisco</t>
  </si>
  <si>
    <t>água tônica schweppes</t>
  </si>
  <si>
    <t>zest de siciliano</t>
  </si>
  <si>
    <t>pétala de rosas</t>
  </si>
  <si>
    <t>Polpa de acerola</t>
  </si>
  <si>
    <t>Limão siciliano</t>
  </si>
  <si>
    <t>Tupi or not?</t>
  </si>
  <si>
    <t xml:space="preserve">Suco de Limão </t>
  </si>
  <si>
    <t xml:space="preserve">Angustura </t>
  </si>
  <si>
    <t>3000 Liras</t>
  </si>
  <si>
    <t>Lichia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</si>
</sst>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\ yyyy"/>
    <numFmt numFmtId="165" formatCode="_-* #,##0.00_-;\-* #,##0.00_-;_-* &quot;-&quot;??_-;_-@"/>
    <numFmt numFmtId="166" formatCode="&quot;R$&quot;\ #,##0.00"/>
    <numFmt numFmtId="167" formatCode="d/m"/>
    <numFmt numFmtId="168" formatCode="d.m"/>
    <numFmt numFmtId="169" formatCode="_-* #,##0_-;\-* #,##0_-;_-* &quot;-&quot;??_-;_-@"/>
  </numFmts>
  <fonts count="44">
    <font>
      <sz val="11.0"/>
      <color rgb="FF000000"/>
      <name val="Arial"/>
      <scheme val="minor"/>
    </font>
    <font>
      <sz val="12.0"/>
      <color rgb="FF000000"/>
      <name val="Century Gothic"/>
    </font>
    <font>
      <sz val="10.0"/>
      <color rgb="FF000000"/>
      <name val="Helvetica Neue"/>
    </font>
    <font>
      <sz val="11.0"/>
      <color theme="1"/>
      <name val="Aptos Narrow"/>
    </font>
    <font>
      <sz val="10.0"/>
      <color theme="1"/>
      <name val="Century Gothic"/>
    </font>
    <font>
      <sz val="24.0"/>
      <color rgb="FF000000"/>
      <name val="Century Gothic"/>
    </font>
    <font>
      <sz val="36.0"/>
      <color rgb="FF000000"/>
      <name val="Century Gothic"/>
    </font>
    <font/>
    <font>
      <sz val="11.0"/>
      <color rgb="FF000000"/>
      <name val="Century Gothic"/>
    </font>
    <font>
      <b/>
      <sz val="11.0"/>
      <color theme="1"/>
      <name val="Aptos Narrow"/>
    </font>
    <font>
      <b/>
      <sz val="13.0"/>
      <color rgb="FF000000"/>
      <name val="Century Gothic"/>
    </font>
    <font>
      <sz val="13.0"/>
      <color rgb="FF000000"/>
      <name val="Century Gothic"/>
    </font>
    <font>
      <sz val="13.0"/>
      <color rgb="FF000000"/>
      <name val="Helvetica Neue"/>
    </font>
    <font>
      <b/>
      <sz val="11.0"/>
      <color rgb="FFF8F8F8"/>
      <name val="Aptos Narrow"/>
    </font>
    <font>
      <b/>
      <sz val="13.0"/>
      <color rgb="FFF8F8F8"/>
      <name val="Aptos Narrow"/>
    </font>
    <font>
      <b/>
      <sz val="11.0"/>
      <color rgb="FFF1A983"/>
      <name val="Aptos Narrow"/>
    </font>
    <font>
      <sz val="13.0"/>
      <color theme="1"/>
      <name val="Aptos Narrow"/>
    </font>
    <font>
      <color theme="1"/>
      <name val="Arial"/>
      <scheme val="minor"/>
    </font>
    <font>
      <sz val="11.0"/>
      <color rgb="FF000000"/>
      <name val="Aptos Narrow"/>
    </font>
    <font>
      <sz val="11.0"/>
      <color rgb="FFF1A983"/>
      <name val="Aptos Narrow"/>
    </font>
    <font>
      <b/>
      <sz val="11.0"/>
      <color rgb="FF0C0C0C"/>
      <name val="Aptos Narrow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sz val="13.0"/>
      <color rgb="FFFF0000"/>
      <name val="Aptos Narrow"/>
    </font>
    <font>
      <b/>
      <sz val="14.0"/>
      <color rgb="FF000000"/>
      <name val="Century Gothic"/>
    </font>
    <font>
      <b/>
      <sz val="11.0"/>
      <color rgb="FFFF0000"/>
      <name val="Aptos Narrow"/>
    </font>
    <font>
      <sz val="12.0"/>
      <color theme="1"/>
      <name val="Aptos Narrow"/>
    </font>
    <font>
      <b/>
      <sz val="13.0"/>
      <color theme="1"/>
      <name val="Aptos Narrow"/>
    </font>
    <font>
      <color rgb="FF000000"/>
      <name val="Century Gothic"/>
    </font>
    <font>
      <b/>
      <sz val="13.0"/>
      <color theme="1"/>
      <name val="Century Gothic"/>
    </font>
    <font>
      <color theme="1"/>
      <name val="Aptos Narrow"/>
    </font>
    <font>
      <sz val="11.0"/>
      <color rgb="FF000000"/>
      <name val="Aptos Narrow (Corpo)"/>
    </font>
    <font>
      <sz val="13.0"/>
      <color rgb="FF000000"/>
      <name val="Aptos Narrow (Corpo)"/>
    </font>
    <font>
      <sz val="11.0"/>
      <color theme="1"/>
      <name val="Aptos Narrow (Corpo)"/>
    </font>
    <font>
      <b/>
      <color rgb="FF000000"/>
      <name val="Century Gothic"/>
    </font>
    <font>
      <b/>
      <sz val="10.0"/>
      <color rgb="FFF1A983"/>
      <name val="Aptos Narrow"/>
    </font>
    <font>
      <sz val="10.0"/>
      <color theme="1"/>
      <name val="Aptos Narrow"/>
    </font>
    <font>
      <b/>
      <sz val="10.0"/>
      <color rgb="FF000000"/>
      <name val="Century Gothic"/>
    </font>
    <font>
      <sz val="18.0"/>
      <color rgb="FF000000"/>
      <name val="Century Gothic"/>
    </font>
    <font>
      <sz val="10.0"/>
      <color rgb="FFFF0000"/>
      <name val="Aptos Narrow"/>
    </font>
    <font>
      <b/>
      <sz val="11.0"/>
      <color rgb="FF000000"/>
      <name val="Century Gothic"/>
    </font>
    <font>
      <sz val="14.0"/>
      <color theme="1"/>
      <name val="Aptos Narrow"/>
    </font>
    <font>
      <sz val="12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rgb="FF0C0C0C"/>
        <bgColor rgb="FF0C0C0C"/>
      </patternFill>
    </fill>
    <fill>
      <patternFill patternType="solid">
        <fgColor rgb="FFD0D0D0"/>
        <bgColor rgb="FFD0D0D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4">
    <border/>
    <border>
      <left/>
      <right/>
      <top/>
      <bottom/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bottom style="hair">
        <color rgb="FF000000"/>
      </bottom>
    </border>
    <border>
      <left/>
      <top/>
      <bottom/>
    </border>
    <border>
      <bottom style="hair">
        <color rgb="FF000000"/>
      </bottom>
    </border>
    <border>
      <top/>
      <bottom/>
    </border>
    <border>
      <right style="hair">
        <color rgb="FF000000"/>
      </right>
      <bottom style="hair">
        <color rgb="FF000000"/>
      </bottom>
    </border>
    <border>
      <bottom style="dotted">
        <color rgb="FFBFBFBF"/>
      </bottom>
    </border>
    <border>
      <left style="hair">
        <color rgb="FF000000"/>
      </left>
      <right/>
      <top/>
    </border>
    <border>
      <left/>
      <right/>
      <top/>
    </border>
    <border>
      <left/>
      <top/>
    </border>
    <border>
      <right style="hair">
        <color rgb="FF000000"/>
      </right>
      <top/>
    </border>
    <border>
      <left/>
      <right/>
      <top/>
      <bottom style="dotted">
        <color rgb="FFBFBFBF"/>
      </bottom>
    </border>
    <border>
      <top style="dotted">
        <color rgb="FFBFBFBF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  <bottom style="dotted">
        <color rgb="FFBFBFBF"/>
      </bottom>
    </border>
    <border>
      <top/>
      <bottom style="dotted">
        <color rgb="FFBFBFBF"/>
      </bottom>
    </border>
    <border>
      <top style="dotted">
        <color rgb="FFBFBFBF"/>
      </top>
      <bottom style="dotted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/>
      <top style="hair">
        <color rgb="FF000000"/>
      </top>
    </border>
    <border>
      <left/>
      <right/>
      <top style="hair">
        <color rgb="FF000000"/>
      </top>
    </border>
    <border>
      <left/>
      <top style="hair">
        <color rgb="FF000000"/>
      </top>
    </border>
    <border>
      <left/>
      <right/>
    </border>
    <border>
      <left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 style="hair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/>
    </border>
    <border>
      <left/>
      <right style="hair">
        <color rgb="FF000000"/>
      </right>
    </border>
    <border>
      <left/>
      <right/>
      <top style="thin">
        <color rgb="FF000000"/>
      </top>
      <bottom/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/>
    </border>
    <border>
      <left/>
      <right style="thin">
        <color rgb="FF000000"/>
      </right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top style="dotted">
        <color rgb="FF999999"/>
      </top>
      <bottom style="dotted">
        <color rgb="FF999999"/>
      </bottom>
    </border>
    <border>
      <top style="dotted">
        <color rgb="FF999999"/>
      </top>
      <bottom style="dotted">
        <color rgb="FF999999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/>
    </xf>
    <xf borderId="0" fillId="0" fontId="1" numFmtId="164" xfId="0" applyAlignment="1" applyFont="1" applyNumberFormat="1">
      <alignment horizontal="center"/>
    </xf>
    <xf borderId="1" fillId="2" fontId="1" numFmtId="164" xfId="0" applyAlignment="1" applyBorder="1" applyFill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3" fillId="0" fontId="7" numFmtId="0" xfId="0" applyBorder="1" applyFont="1"/>
    <xf borderId="0" fillId="0" fontId="6" numFmtId="0" xfId="0" applyAlignment="1" applyFont="1">
      <alignment horizontal="center" shrinkToFit="0" vertical="top" wrapText="1"/>
    </xf>
    <xf borderId="4" fillId="0" fontId="7" numFmtId="0" xfId="0" applyBorder="1" applyFont="1"/>
    <xf borderId="0" fillId="0" fontId="8" numFmtId="0" xfId="0" applyAlignment="1" applyFont="1">
      <alignment horizontal="left" readingOrder="0" shrinkToFit="0" vertical="center" wrapText="1"/>
    </xf>
    <xf borderId="4" fillId="0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horizontal="left" vertical="center"/>
    </xf>
    <xf borderId="0" fillId="0" fontId="10" numFmtId="0" xfId="0" applyAlignment="1" applyFont="1">
      <alignment horizontal="left" readingOrder="0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0" fillId="0" fontId="9" numFmtId="14" xfId="0" applyAlignment="1" applyFont="1" applyNumberForma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3" numFmtId="14" xfId="0" applyAlignment="1" applyFont="1" applyNumberFormat="1">
      <alignment horizontal="left" vertical="center"/>
    </xf>
    <xf borderId="6" fillId="0" fontId="5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12" numFmtId="0" xfId="0" applyFont="1"/>
    <xf borderId="6" fillId="0" fontId="6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6" fillId="0" fontId="11" numFmtId="0" xfId="0" applyAlignment="1" applyBorder="1" applyFont="1">
      <alignment horizontal="left" shrinkToFit="0" vertical="center" wrapText="1"/>
    </xf>
    <xf borderId="1" fillId="3" fontId="13" numFmtId="0" xfId="0" applyAlignment="1" applyBorder="1" applyFill="1" applyFont="1">
      <alignment horizontal="center"/>
    </xf>
    <xf borderId="1" fillId="3" fontId="14" numFmtId="0" xfId="0" applyAlignment="1" applyBorder="1" applyFont="1">
      <alignment horizontal="left"/>
    </xf>
    <xf borderId="1" fillId="3" fontId="13" numFmtId="165" xfId="0" applyAlignment="1" applyBorder="1" applyFont="1" applyNumberFormat="1">
      <alignment horizontal="center"/>
    </xf>
    <xf borderId="1" fillId="3" fontId="14" numFmtId="0" xfId="0" applyAlignment="1" applyBorder="1" applyFont="1">
      <alignment horizontal="center"/>
    </xf>
    <xf borderId="7" fillId="0" fontId="10" numFmtId="0" xfId="0" applyAlignment="1" applyBorder="1" applyFont="1">
      <alignment horizontal="left" shrinkToFit="0" vertical="center" wrapText="1"/>
    </xf>
    <xf borderId="8" fillId="3" fontId="13" numFmtId="165" xfId="0" applyAlignment="1" applyBorder="1" applyFont="1" applyNumberFormat="1">
      <alignment horizontal="center"/>
    </xf>
    <xf borderId="9" fillId="0" fontId="10" numFmtId="0" xfId="0" applyAlignment="1" applyBorder="1" applyFont="1">
      <alignment horizontal="left" shrinkToFit="0" vertical="center" wrapText="1"/>
    </xf>
    <xf borderId="10" fillId="0" fontId="7" numFmtId="0" xfId="0" applyBorder="1" applyFont="1"/>
    <xf borderId="11" fillId="0" fontId="11" numFmtId="0" xfId="0" applyAlignment="1" applyBorder="1" applyFont="1">
      <alignment horizontal="left" shrinkToFit="0" vertical="center" wrapText="1"/>
    </xf>
    <xf borderId="12" fillId="0" fontId="9" numFmtId="165" xfId="0" applyAlignment="1" applyBorder="1" applyFont="1" applyNumberFormat="1">
      <alignment horizontal="center"/>
    </xf>
    <xf borderId="8" fillId="3" fontId="14" numFmtId="165" xfId="0" applyAlignment="1" applyBorder="1" applyFont="1" applyNumberFormat="1">
      <alignment horizontal="center"/>
    </xf>
    <xf borderId="12" fillId="0" fontId="9" numFmtId="2" xfId="0" applyAlignment="1" applyBorder="1" applyFont="1" applyNumberFormat="1">
      <alignment horizontal="center"/>
    </xf>
    <xf borderId="5" fillId="0" fontId="10" numFmtId="0" xfId="0" applyAlignment="1" applyBorder="1" applyFont="1">
      <alignment horizontal="left" shrinkToFit="0" vertical="center" wrapText="1"/>
    </xf>
    <xf borderId="12" fillId="0" fontId="15" numFmtId="166" xfId="0" applyAlignment="1" applyBorder="1" applyFont="1" applyNumberFormat="1">
      <alignment horizontal="center"/>
    </xf>
    <xf borderId="0" fillId="0" fontId="16" numFmtId="0" xfId="0" applyFont="1"/>
    <xf borderId="12" fillId="0" fontId="9" numFmtId="166" xfId="0" applyAlignment="1" applyBorder="1" applyFont="1" applyNumberFormat="1">
      <alignment horizontal="center"/>
    </xf>
    <xf borderId="12" fillId="0" fontId="7" numFmtId="0" xfId="0" applyBorder="1" applyFont="1"/>
    <xf borderId="12" fillId="0" fontId="3" numFmtId="0" xfId="0" applyAlignment="1" applyBorder="1" applyFont="1">
      <alignment horizontal="left" readingOrder="0"/>
    </xf>
    <xf borderId="13" fillId="3" fontId="14" numFmtId="0" xfId="0" applyAlignment="1" applyBorder="1" applyFont="1">
      <alignment horizontal="left"/>
    </xf>
    <xf borderId="2" fillId="0" fontId="3" numFmtId="0" xfId="0" applyAlignment="1" applyBorder="1" applyFont="1">
      <alignment horizontal="left" readingOrder="0"/>
    </xf>
    <xf borderId="12" fillId="0" fontId="3" numFmtId="0" xfId="0" applyAlignment="1" applyBorder="1" applyFont="1">
      <alignment horizontal="center" readingOrder="0"/>
    </xf>
    <xf borderId="14" fillId="3" fontId="14" numFmtId="0" xfId="0" applyAlignment="1" applyBorder="1" applyFont="1">
      <alignment horizontal="center"/>
    </xf>
    <xf borderId="12" fillId="0" fontId="3" numFmtId="165" xfId="0" applyAlignment="1" applyBorder="1" applyFont="1" applyNumberFormat="1">
      <alignment horizontal="center"/>
    </xf>
    <xf borderId="5" fillId="0" fontId="3" numFmtId="0" xfId="0" applyAlignment="1" applyBorder="1" applyFont="1">
      <alignment horizontal="left" readingOrder="0"/>
    </xf>
    <xf borderId="12" fillId="0" fontId="16" numFmtId="2" xfId="0" applyAlignment="1" applyBorder="1" applyFont="1" applyNumberFormat="1">
      <alignment horizontal="center"/>
    </xf>
    <xf borderId="15" fillId="3" fontId="14" numFmtId="165" xfId="0" applyAlignment="1" applyBorder="1" applyFont="1" applyNumberFormat="1">
      <alignment horizontal="center"/>
    </xf>
    <xf borderId="16" fillId="0" fontId="7" numFmtId="0" xfId="0" applyBorder="1" applyFont="1"/>
    <xf borderId="7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readingOrder="0"/>
    </xf>
    <xf borderId="3" fillId="0" fontId="3" numFmtId="165" xfId="0" applyAlignment="1" applyBorder="1" applyFont="1" applyNumberFormat="1">
      <alignment horizontal="center"/>
    </xf>
    <xf borderId="12" fillId="0" fontId="16" numFmtId="2" xfId="0" applyBorder="1" applyFont="1" applyNumberFormat="1"/>
    <xf borderId="3" fillId="0" fontId="16" numFmtId="2" xfId="0" applyAlignment="1" applyBorder="1" applyFont="1" applyNumberFormat="1">
      <alignment horizontal="center"/>
    </xf>
    <xf borderId="12" fillId="0" fontId="3" numFmtId="0" xfId="0" applyAlignment="1" applyBorder="1" applyFont="1">
      <alignment horizontal="left"/>
    </xf>
    <xf borderId="1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17" fillId="4" fontId="16" numFmtId="0" xfId="0" applyAlignment="1" applyBorder="1" applyFill="1" applyFont="1">
      <alignment horizontal="left"/>
    </xf>
    <xf borderId="0" fillId="0" fontId="3" numFmtId="165" xfId="0" applyAlignment="1" applyFont="1" applyNumberFormat="1">
      <alignment horizontal="center"/>
    </xf>
    <xf borderId="17" fillId="4" fontId="16" numFmtId="165" xfId="0" applyAlignment="1" applyBorder="1" applyFont="1" applyNumberFormat="1">
      <alignment horizontal="center"/>
    </xf>
    <xf borderId="0" fillId="0" fontId="16" numFmtId="2" xfId="0" applyAlignment="1" applyFont="1" applyNumberFormat="1">
      <alignment horizontal="center"/>
    </xf>
    <xf borderId="6" fillId="0" fontId="7" numFmtId="0" xfId="0" applyBorder="1" applyFont="1"/>
    <xf borderId="17" fillId="4" fontId="16" numFmtId="0" xfId="0" applyAlignment="1" applyBorder="1" applyFont="1">
      <alignment horizontal="center"/>
    </xf>
    <xf borderId="18" fillId="0" fontId="3" numFmtId="0" xfId="0" applyAlignment="1" applyBorder="1" applyFont="1">
      <alignment horizontal="left"/>
    </xf>
    <xf borderId="18" fillId="0" fontId="7" numFmtId="0" xfId="0" applyBorder="1" applyFont="1"/>
    <xf borderId="0" fillId="0" fontId="3" numFmtId="165" xfId="0" applyAlignment="1" applyFont="1" applyNumberFormat="1">
      <alignment horizontal="center" readingOrder="0"/>
    </xf>
    <xf borderId="6" fillId="0" fontId="16" numFmtId="2" xfId="0" applyBorder="1" applyFont="1" applyNumberFormat="1"/>
    <xf borderId="7" fillId="0" fontId="3" numFmtId="0" xfId="0" applyAlignment="1" applyBorder="1" applyFont="1">
      <alignment horizontal="left"/>
    </xf>
    <xf borderId="19" fillId="0" fontId="17" numFmtId="0" xfId="0" applyAlignment="1" applyBorder="1" applyFont="1">
      <alignment readingOrder="0"/>
    </xf>
    <xf borderId="9" fillId="0" fontId="3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9" fillId="0" fontId="3" numFmtId="165" xfId="0" applyAlignment="1" applyBorder="1" applyFont="1" applyNumberFormat="1">
      <alignment horizontal="center"/>
    </xf>
    <xf borderId="9" fillId="0" fontId="16" numFmtId="2" xfId="0" applyAlignment="1" applyBorder="1" applyFont="1" applyNumberFormat="1">
      <alignment horizontal="center"/>
    </xf>
    <xf borderId="11" fillId="0" fontId="16" numFmtId="2" xfId="0" applyAlignment="1" applyBorder="1" applyFont="1" applyNumberFormat="1">
      <alignment horizontal="center"/>
    </xf>
    <xf borderId="19" fillId="0" fontId="3" numFmtId="0" xfId="0" applyAlignment="1" applyBorder="1" applyFont="1">
      <alignment horizontal="left" readingOrder="0"/>
    </xf>
    <xf borderId="0" fillId="4" fontId="16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4" fontId="16" numFmtId="165" xfId="0" applyAlignment="1" applyFont="1" applyNumberFormat="1">
      <alignment horizontal="center"/>
    </xf>
    <xf borderId="0" fillId="4" fontId="16" numFmtId="0" xfId="0" applyAlignment="1" applyFont="1">
      <alignment horizontal="center"/>
    </xf>
    <xf borderId="3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 readingOrder="0"/>
    </xf>
    <xf borderId="19" fillId="0" fontId="18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19" fillId="0" fontId="0" numFmtId="0" xfId="0" applyAlignment="1" applyBorder="1" applyFont="1">
      <alignment horizontal="left" readingOrder="0" shrinkToFit="0" vertical="center" wrapText="0"/>
    </xf>
    <xf borderId="6" fillId="0" fontId="3" numFmtId="0" xfId="0" applyAlignment="1" applyBorder="1" applyFont="1">
      <alignment horizontal="left" readingOrder="0"/>
    </xf>
    <xf borderId="12" fillId="0" fontId="16" numFmtId="0" xfId="0" applyAlignment="1" applyBorder="1" applyFont="1">
      <alignment horizontal="center"/>
    </xf>
    <xf borderId="19" fillId="0" fontId="21" numFmtId="0" xfId="0" applyAlignment="1" applyBorder="1" applyFont="1">
      <alignment horizontal="left" readingOrder="0" shrinkToFit="0" vertical="center" wrapText="0"/>
    </xf>
    <xf borderId="12" fillId="0" fontId="16" numFmtId="165" xfId="0" applyAlignment="1" applyBorder="1" applyFont="1" applyNumberFormat="1">
      <alignment horizontal="center"/>
    </xf>
    <xf borderId="0" fillId="0" fontId="10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6" numFmtId="0" xfId="0" applyAlignment="1" applyFont="1">
      <alignment shrinkToFit="0" wrapText="0"/>
    </xf>
    <xf borderId="9" fillId="0" fontId="3" numFmtId="0" xfId="0" applyAlignment="1" applyBorder="1" applyFont="1">
      <alignment horizontal="left" readingOrder="0"/>
    </xf>
    <xf borderId="0" fillId="0" fontId="9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11" fillId="0" fontId="3" numFmtId="0" xfId="0" applyAlignment="1" applyBorder="1" applyFont="1">
      <alignment horizontal="left" readingOrder="0"/>
    </xf>
    <xf borderId="20" fillId="0" fontId="22" numFmtId="0" xfId="0" applyAlignment="1" applyBorder="1" applyFont="1">
      <alignment horizontal="left" readingOrder="0" shrinkToFit="0" vertical="center" wrapText="0"/>
    </xf>
    <xf borderId="0" fillId="0" fontId="23" numFmtId="0" xfId="0" applyAlignment="1" applyFont="1">
      <alignment shrinkToFit="0" vertical="center" wrapText="0"/>
    </xf>
    <xf borderId="21" fillId="0" fontId="10" numFmtId="0" xfId="0" applyAlignment="1" applyBorder="1" applyFont="1">
      <alignment horizontal="left" shrinkToFit="0" vertical="center" wrapText="0"/>
    </xf>
    <xf borderId="17" fillId="4" fontId="24" numFmtId="2" xfId="0" applyAlignment="1" applyBorder="1" applyFont="1" applyNumberFormat="1">
      <alignment horizontal="center" vertical="center"/>
    </xf>
    <xf borderId="21" fillId="0" fontId="16" numFmtId="0" xfId="0" applyAlignment="1" applyBorder="1" applyFont="1">
      <alignment shrinkToFit="0" wrapText="0"/>
    </xf>
    <xf borderId="17" fillId="4" fontId="24" numFmtId="165" xfId="0" applyAlignment="1" applyBorder="1" applyFont="1" applyNumberFormat="1">
      <alignment horizontal="center"/>
    </xf>
    <xf borderId="1" fillId="4" fontId="24" numFmtId="2" xfId="0" applyAlignment="1" applyBorder="1" applyFont="1" applyNumberFormat="1">
      <alignment horizontal="center" vertical="center"/>
    </xf>
    <xf borderId="1" fillId="4" fontId="24" numFmtId="165" xfId="0" applyAlignment="1" applyBorder="1" applyFont="1" applyNumberFormat="1">
      <alignment horizontal="center"/>
    </xf>
    <xf borderId="1" fillId="4" fontId="16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  <xf borderId="0" fillId="0" fontId="24" numFmtId="2" xfId="0" applyAlignment="1" applyFont="1" applyNumberFormat="1">
      <alignment horizontal="center" vertical="center"/>
    </xf>
    <xf borderId="0" fillId="0" fontId="23" numFmtId="0" xfId="0" applyAlignment="1" applyFont="1">
      <alignment vertical="bottom"/>
    </xf>
    <xf borderId="0" fillId="0" fontId="24" numFmtId="165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5" fillId="0" fontId="21" numFmtId="0" xfId="0" applyAlignment="1" applyBorder="1" applyFon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vertical="center" wrapText="1"/>
    </xf>
    <xf borderId="12" fillId="0" fontId="16" numFmtId="2" xfId="0" applyAlignment="1" applyBorder="1" applyFont="1" applyNumberFormat="1">
      <alignment horizontal="center" vertical="center"/>
    </xf>
    <xf borderId="0" fillId="0" fontId="16" numFmtId="2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bottom"/>
    </xf>
    <xf borderId="0" fillId="0" fontId="16" numFmtId="165" xfId="0" applyAlignment="1" applyFont="1" applyNumberFormat="1">
      <alignment horizontal="center"/>
    </xf>
    <xf borderId="18" fillId="0" fontId="16" numFmtId="0" xfId="0" applyAlignment="1" applyBorder="1" applyFont="1">
      <alignment horizontal="left"/>
    </xf>
    <xf borderId="0" fillId="0" fontId="25" numFmtId="0" xfId="0" applyAlignment="1" applyFont="1">
      <alignment horizontal="left" shrinkToFit="0" vertical="center" wrapText="1"/>
    </xf>
    <xf borderId="0" fillId="0" fontId="3" numFmtId="0" xfId="0" applyFont="1"/>
    <xf borderId="1" fillId="3" fontId="13" numFmtId="0" xfId="0" applyAlignment="1" applyBorder="1" applyFont="1">
      <alignment horizontal="left"/>
    </xf>
    <xf borderId="17" fillId="4" fontId="3" numFmtId="0" xfId="0" applyAlignment="1" applyBorder="1" applyFont="1">
      <alignment horizontal="left"/>
    </xf>
    <xf borderId="17" fillId="4" fontId="26" numFmtId="2" xfId="0" applyAlignment="1" applyBorder="1" applyFont="1" applyNumberFormat="1">
      <alignment horizontal="center" vertical="center"/>
    </xf>
    <xf borderId="17" fillId="4" fontId="26" numFmtId="165" xfId="0" applyAlignment="1" applyBorder="1" applyFont="1" applyNumberFormat="1">
      <alignment horizontal="center"/>
    </xf>
    <xf borderId="17" fillId="4" fontId="3" numFmtId="0" xfId="0" applyAlignment="1" applyBorder="1" applyFont="1">
      <alignment horizontal="center"/>
    </xf>
    <xf borderId="17" fillId="4" fontId="3" numFmtId="166" xfId="0" applyAlignment="1" applyBorder="1" applyFont="1" applyNumberFormat="1">
      <alignment horizontal="center"/>
    </xf>
    <xf borderId="22" fillId="4" fontId="27" numFmtId="0" xfId="0" applyAlignment="1" applyBorder="1" applyFont="1">
      <alignment horizontal="left"/>
    </xf>
    <xf borderId="23" fillId="0" fontId="7" numFmtId="0" xfId="0" applyBorder="1" applyFont="1"/>
    <xf borderId="0" fillId="0" fontId="27" numFmtId="0" xfId="0" applyFont="1"/>
    <xf borderId="24" fillId="0" fontId="3" numFmtId="0" xfId="0" applyAlignment="1" applyBorder="1" applyFont="1">
      <alignment horizontal="left"/>
    </xf>
    <xf borderId="24" fillId="0" fontId="7" numFmtId="0" xfId="0" applyBorder="1" applyFont="1"/>
    <xf borderId="24" fillId="0" fontId="3" numFmtId="0" xfId="0" applyAlignment="1" applyBorder="1" applyFont="1">
      <alignment horizontal="center"/>
    </xf>
    <xf borderId="24" fillId="0" fontId="27" numFmtId="0" xfId="0" applyAlignment="1" applyBorder="1" applyFont="1">
      <alignment horizontal="left"/>
    </xf>
    <xf borderId="24" fillId="0" fontId="27" numFmtId="2" xfId="0" applyAlignment="1" applyBorder="1" applyFont="1" applyNumberFormat="1">
      <alignment horizontal="center"/>
    </xf>
    <xf borderId="8" fillId="4" fontId="27" numFmtId="0" xfId="0" applyAlignment="1" applyBorder="1" applyFont="1">
      <alignment horizontal="left"/>
    </xf>
    <xf borderId="25" fillId="0" fontId="3" numFmtId="0" xfId="0" applyAlignment="1" applyBorder="1" applyFont="1">
      <alignment horizontal="left"/>
    </xf>
    <xf borderId="25" fillId="0" fontId="27" numFmtId="0" xfId="0" applyAlignment="1" applyBorder="1" applyFont="1">
      <alignment horizontal="left"/>
    </xf>
    <xf borderId="25" fillId="0" fontId="3" numFmtId="0" xfId="0" applyBorder="1" applyFont="1"/>
    <xf borderId="25" fillId="0" fontId="3" numFmtId="0" xfId="0" applyAlignment="1" applyBorder="1" applyFont="1">
      <alignment horizontal="center"/>
    </xf>
    <xf borderId="25" fillId="0" fontId="3" numFmtId="165" xfId="0" applyAlignment="1" applyBorder="1" applyFont="1" applyNumberFormat="1">
      <alignment horizontal="center"/>
    </xf>
    <xf borderId="26" fillId="0" fontId="16" numFmtId="2" xfId="0" applyAlignment="1" applyBorder="1" applyFont="1" applyNumberFormat="1">
      <alignment horizontal="center"/>
    </xf>
    <xf borderId="27" fillId="0" fontId="7" numFmtId="0" xfId="0" applyBorder="1" applyFont="1"/>
    <xf borderId="26" fillId="0" fontId="27" numFmtId="2" xfId="0" applyAlignment="1" applyBorder="1" applyFont="1" applyNumberFormat="1">
      <alignment horizontal="center"/>
    </xf>
    <xf borderId="28" fillId="0" fontId="3" numFmtId="0" xfId="0" applyAlignment="1" applyBorder="1" applyFont="1">
      <alignment horizontal="left"/>
    </xf>
    <xf borderId="28" fillId="0" fontId="3" numFmtId="0" xfId="0" applyAlignment="1" applyBorder="1" applyFont="1">
      <alignment horizontal="center"/>
    </xf>
    <xf borderId="28" fillId="0" fontId="3" numFmtId="165" xfId="0" applyAlignment="1" applyBorder="1" applyFont="1" applyNumberFormat="1">
      <alignment horizontal="center"/>
    </xf>
    <xf borderId="20" fillId="0" fontId="16" numFmtId="2" xfId="0" applyAlignment="1" applyBorder="1" applyFont="1" applyNumberFormat="1">
      <alignment horizontal="center"/>
    </xf>
    <xf borderId="29" fillId="0" fontId="7" numFmtId="0" xfId="0" applyBorder="1" applyFont="1"/>
    <xf borderId="25" fillId="0" fontId="26" numFmtId="2" xfId="0" applyAlignment="1" applyBorder="1" applyFont="1" applyNumberFormat="1">
      <alignment horizontal="center" vertical="center"/>
    </xf>
    <xf borderId="25" fillId="0" fontId="26" numFmtId="165" xfId="0" applyAlignment="1" applyBorder="1" applyFont="1" applyNumberFormat="1">
      <alignment horizontal="center"/>
    </xf>
    <xf borderId="25" fillId="0" fontId="3" numFmtId="166" xfId="0" applyAlignment="1" applyBorder="1" applyFont="1" applyNumberFormat="1">
      <alignment horizontal="center"/>
    </xf>
    <xf borderId="26" fillId="0" fontId="27" numFmtId="0" xfId="0" applyAlignment="1" applyBorder="1" applyFont="1">
      <alignment horizontal="left"/>
    </xf>
    <xf borderId="30" fillId="0" fontId="7" numFmtId="0" xfId="0" applyBorder="1" applyFont="1"/>
    <xf borderId="19" fillId="0" fontId="3" numFmtId="0" xfId="0" applyBorder="1" applyFont="1"/>
    <xf borderId="31" fillId="0" fontId="3" numFmtId="0" xfId="0" applyBorder="1" applyFont="1"/>
    <xf borderId="20" fillId="0" fontId="3" numFmtId="0" xfId="0" applyBorder="1" applyFont="1"/>
    <xf borderId="21" fillId="0" fontId="3" numFmtId="0" xfId="0" applyAlignment="1" applyBorder="1" applyFont="1">
      <alignment horizontal="center"/>
    </xf>
    <xf borderId="21" fillId="0" fontId="3" numFmtId="0" xfId="0" applyBorder="1" applyFont="1"/>
    <xf borderId="29" fillId="0" fontId="3" numFmtId="0" xfId="0" applyBorder="1" applyFont="1"/>
    <xf borderId="1" fillId="5" fontId="1" numFmtId="164" xfId="0" applyAlignment="1" applyBorder="1" applyFill="1" applyFont="1" applyNumberFormat="1">
      <alignment horizontal="left"/>
    </xf>
    <xf borderId="7" fillId="0" fontId="10" numFmtId="0" xfId="0" applyAlignment="1" applyBorder="1" applyFont="1">
      <alignment horizontal="left" readingOrder="0" shrinkToFit="0" vertical="center" wrapText="1"/>
    </xf>
    <xf borderId="32" fillId="3" fontId="14" numFmtId="0" xfId="0" applyAlignment="1" applyBorder="1" applyFont="1">
      <alignment horizontal="left"/>
    </xf>
    <xf borderId="33" fillId="3" fontId="14" numFmtId="0" xfId="0" applyAlignment="1" applyBorder="1" applyFont="1">
      <alignment horizontal="center"/>
    </xf>
    <xf borderId="34" fillId="3" fontId="14" numFmtId="165" xfId="0" applyAlignment="1" applyBorder="1" applyFont="1" applyNumberFormat="1">
      <alignment horizontal="center"/>
    </xf>
    <xf borderId="5" fillId="4" fontId="16" numFmtId="0" xfId="0" applyAlignment="1" applyBorder="1" applyFont="1">
      <alignment horizontal="left"/>
    </xf>
    <xf borderId="6" fillId="4" fontId="16" numFmtId="0" xfId="0" applyAlignment="1" applyBorder="1" applyFont="1">
      <alignment horizontal="center"/>
    </xf>
    <xf borderId="4" fillId="0" fontId="6" numFmtId="0" xfId="0" applyAlignment="1" applyBorder="1" applyFont="1">
      <alignment horizontal="center" shrinkToFit="0" vertical="top" wrapText="0"/>
    </xf>
    <xf borderId="6" fillId="0" fontId="6" numFmtId="0" xfId="0" applyAlignment="1" applyBorder="1" applyFont="1">
      <alignment horizontal="center" shrinkToFit="0" vertical="top" wrapText="0"/>
    </xf>
    <xf borderId="9" fillId="0" fontId="11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center" shrinkToFit="0" vertical="top" wrapText="0"/>
    </xf>
    <xf borderId="35" fillId="3" fontId="14" numFmtId="0" xfId="0" applyAlignment="1" applyBorder="1" applyFont="1">
      <alignment horizontal="left"/>
    </xf>
    <xf borderId="35" fillId="3" fontId="14" numFmtId="0" xfId="0" applyAlignment="1" applyBorder="1" applyFont="1">
      <alignment horizontal="center"/>
    </xf>
    <xf borderId="36" fillId="3" fontId="14" numFmtId="165" xfId="0" applyAlignment="1" applyBorder="1" applyFont="1" applyNumberFormat="1">
      <alignment horizontal="center"/>
    </xf>
    <xf borderId="5" fillId="0" fontId="3" numFmtId="0" xfId="0" applyAlignment="1" applyBorder="1" applyFont="1">
      <alignment horizontal="left"/>
    </xf>
    <xf borderId="6" fillId="0" fontId="16" numFmtId="2" xfId="0" applyAlignment="1" applyBorder="1" applyFont="1" applyNumberFormat="1">
      <alignment horizontal="center"/>
    </xf>
    <xf borderId="37" fillId="0" fontId="5" numFmtId="0" xfId="0" applyAlignment="1" applyBorder="1" applyFont="1">
      <alignment horizontal="left" readingOrder="0" shrinkToFit="0" vertical="center" wrapText="1"/>
    </xf>
    <xf borderId="38" fillId="0" fontId="7" numFmtId="0" xfId="0" applyBorder="1" applyFont="1"/>
    <xf borderId="2" fillId="0" fontId="1" numFmtId="164" xfId="0" applyAlignment="1" applyBorder="1" applyFont="1" applyNumberFormat="1">
      <alignment horizontal="left"/>
    </xf>
    <xf borderId="38" fillId="0" fontId="6" numFmtId="0" xfId="0" applyAlignment="1" applyBorder="1" applyFont="1">
      <alignment horizontal="center" shrinkToFit="0" vertical="top" wrapText="1"/>
    </xf>
    <xf borderId="35" fillId="4" fontId="16" numFmtId="0" xfId="0" applyAlignment="1" applyBorder="1" applyFont="1">
      <alignment horizontal="left"/>
    </xf>
    <xf borderId="3" fillId="0" fontId="1" numFmtId="164" xfId="0" applyAlignment="1" applyBorder="1" applyFont="1" applyNumberFormat="1">
      <alignment horizontal="center"/>
    </xf>
    <xf borderId="39" fillId="2" fontId="1" numFmtId="164" xfId="0" applyAlignment="1" applyBorder="1" applyFont="1" applyNumberFormat="1">
      <alignment horizontal="left"/>
    </xf>
    <xf borderId="38" fillId="0" fontId="2" numFmtId="0" xfId="0" applyBorder="1" applyFont="1"/>
    <xf borderId="3" fillId="0" fontId="1" numFmtId="164" xfId="0" applyAlignment="1" applyBorder="1" applyFont="1" applyNumberFormat="1">
      <alignment horizontal="left"/>
    </xf>
    <xf borderId="35" fillId="4" fontId="16" numFmtId="165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left"/>
    </xf>
    <xf borderId="35" fillId="4" fontId="16" numFmtId="0" xfId="0" applyAlignment="1" applyBorder="1" applyFont="1">
      <alignment horizontal="center"/>
    </xf>
    <xf borderId="40" fillId="0" fontId="2" numFmtId="0" xfId="0" applyBorder="1" applyFont="1"/>
    <xf borderId="5" fillId="0" fontId="4" numFmtId="0" xfId="0" applyBorder="1" applyFont="1"/>
    <xf borderId="6" fillId="0" fontId="4" numFmtId="0" xfId="0" applyBorder="1" applyFont="1"/>
    <xf borderId="19" fillId="0" fontId="10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0"/>
    </xf>
    <xf borderId="31" fillId="0" fontId="2" numFmtId="0" xfId="0" applyBorder="1" applyFont="1"/>
    <xf borderId="6" fillId="0" fontId="16" numFmtId="0" xfId="0" applyBorder="1" applyFont="1"/>
    <xf borderId="31" fillId="0" fontId="12" numFmtId="0" xfId="0" applyBorder="1" applyFont="1"/>
    <xf borderId="9" fillId="0" fontId="16" numFmtId="0" xfId="0" applyBorder="1" applyFont="1"/>
    <xf borderId="11" fillId="0" fontId="16" numFmtId="0" xfId="0" applyBorder="1" applyFont="1"/>
    <xf borderId="19" fillId="3" fontId="14" numFmtId="0" xfId="0" applyAlignment="1" applyBorder="1" applyFont="1">
      <alignment horizontal="left"/>
    </xf>
    <xf borderId="41" fillId="3" fontId="14" numFmtId="0" xfId="0" applyAlignment="1" applyBorder="1" applyFont="1">
      <alignment horizontal="left"/>
    </xf>
    <xf borderId="3" fillId="0" fontId="16" numFmtId="0" xfId="0" applyAlignment="1" applyBorder="1" applyFont="1">
      <alignment horizontal="center" readingOrder="0"/>
    </xf>
    <xf borderId="0" fillId="3" fontId="14" numFmtId="0" xfId="0" applyAlignment="1" applyFont="1">
      <alignment horizontal="center"/>
    </xf>
    <xf borderId="3" fillId="0" fontId="16" numFmtId="165" xfId="0" applyAlignment="1" applyBorder="1" applyFont="1" applyNumberFormat="1">
      <alignment horizontal="center" readingOrder="0"/>
    </xf>
    <xf borderId="0" fillId="3" fontId="14" numFmtId="165" xfId="0" applyAlignment="1" applyFont="1" applyNumberFormat="1">
      <alignment horizontal="center"/>
    </xf>
    <xf borderId="0" fillId="6" fontId="16" numFmtId="0" xfId="0" applyFill="1" applyFont="1"/>
    <xf borderId="0" fillId="0" fontId="16" numFmtId="0" xfId="0" applyAlignment="1" applyFont="1">
      <alignment horizontal="center" readingOrder="0"/>
    </xf>
    <xf borderId="31" fillId="6" fontId="16" numFmtId="0" xfId="0" applyBorder="1" applyFont="1"/>
    <xf borderId="0" fillId="0" fontId="16" numFmtId="165" xfId="0" applyAlignment="1" applyFont="1" applyNumberFormat="1">
      <alignment horizontal="center" readingOrder="0"/>
    </xf>
    <xf borderId="3" fillId="0" fontId="3" numFmtId="165" xfId="0" applyAlignment="1" applyBorder="1" applyFont="1" applyNumberFormat="1">
      <alignment horizontal="center" readingOrder="0"/>
    </xf>
    <xf borderId="31" fillId="0" fontId="16" numFmtId="0" xfId="0" applyBorder="1" applyFont="1"/>
    <xf borderId="0" fillId="0" fontId="27" numFmtId="2" xfId="0" applyAlignment="1" applyFont="1" applyNumberFormat="1">
      <alignment horizontal="center"/>
    </xf>
    <xf borderId="40" fillId="0" fontId="6" numFmtId="0" xfId="0" applyAlignment="1" applyBorder="1" applyFont="1">
      <alignment horizontal="center" shrinkToFit="0" vertical="top" wrapText="0"/>
    </xf>
    <xf borderId="6" fillId="0" fontId="16" numFmtId="2" xfId="0" applyAlignment="1" applyBorder="1" applyFont="1" applyNumberFormat="1">
      <alignment horizontal="center" readingOrder="0"/>
    </xf>
    <xf borderId="0" fillId="0" fontId="16" numFmtId="2" xfId="0" applyFont="1" applyNumberFormat="1"/>
    <xf borderId="19" fillId="0" fontId="10" numFmtId="0" xfId="0" applyAlignment="1" applyBorder="1" applyFont="1">
      <alignment horizontal="left" readingOrder="0" shrinkToFit="0" vertical="center" wrapText="0"/>
    </xf>
    <xf borderId="19" fillId="0" fontId="3" numFmtId="0" xfId="0" applyAlignment="1" applyBorder="1" applyFont="1">
      <alignment horizontal="left"/>
    </xf>
    <xf borderId="31" fillId="0" fontId="6" numFmtId="0" xfId="0" applyAlignment="1" applyBorder="1" applyFont="1">
      <alignment horizontal="center" shrinkToFit="0" vertical="top" wrapText="0"/>
    </xf>
    <xf borderId="0" fillId="0" fontId="16" numFmtId="167" xfId="0" applyAlignment="1" applyFont="1" applyNumberFormat="1">
      <alignment horizontal="center" readingOrder="0"/>
    </xf>
    <xf borderId="0" fillId="0" fontId="28" numFmtId="2" xfId="0" applyAlignment="1" applyFont="1" applyNumberFormat="1">
      <alignment horizontal="center" readingOrder="0"/>
    </xf>
    <xf borderId="5" fillId="0" fontId="16" numFmtId="0" xfId="0" applyAlignment="1" applyBorder="1" applyFont="1">
      <alignment horizontal="left"/>
    </xf>
    <xf borderId="19" fillId="4" fontId="16" numFmtId="0" xfId="0" applyAlignment="1" applyBorder="1" applyFont="1">
      <alignment horizontal="left"/>
    </xf>
    <xf borderId="31" fillId="4" fontId="16" numFmtId="0" xfId="0" applyAlignment="1" applyBorder="1" applyFont="1">
      <alignment horizontal="center"/>
    </xf>
    <xf borderId="0" fillId="4" fontId="24" numFmtId="1" xfId="0" applyAlignment="1" applyFont="1" applyNumberFormat="1">
      <alignment horizontal="center" readingOrder="0" vertical="center"/>
    </xf>
    <xf borderId="41" fillId="4" fontId="16" numFmtId="0" xfId="0" applyAlignment="1" applyBorder="1" applyFont="1">
      <alignment horizontal="left"/>
    </xf>
    <xf borderId="0" fillId="4" fontId="24" numFmtId="165" xfId="0" applyAlignment="1" applyFont="1" applyNumberFormat="1">
      <alignment horizontal="center" readingOrder="0"/>
    </xf>
    <xf borderId="31" fillId="0" fontId="7" numFmtId="0" xfId="0" applyBorder="1" applyFont="1"/>
    <xf borderId="42" fillId="4" fontId="16" numFmtId="0" xfId="0" applyAlignment="1" applyBorder="1" applyFont="1">
      <alignment horizontal="center"/>
    </xf>
    <xf borderId="0" fillId="4" fontId="24" numFmtId="2" xfId="0" applyAlignment="1" applyFont="1" applyNumberFormat="1">
      <alignment horizontal="center" vertical="center"/>
    </xf>
    <xf borderId="0" fillId="4" fontId="24" numFmtId="165" xfId="0" applyAlignment="1" applyFont="1" applyNumberFormat="1">
      <alignment horizontal="center"/>
    </xf>
    <xf borderId="6" fillId="0" fontId="16" numFmtId="0" xfId="0" applyAlignment="1" applyBorder="1" applyFont="1">
      <alignment horizontal="center"/>
    </xf>
    <xf borderId="31" fillId="0" fontId="16" numFmtId="2" xfId="0" applyBorder="1" applyFont="1" applyNumberFormat="1"/>
    <xf borderId="9" fillId="0" fontId="24" numFmtId="2" xfId="0" applyAlignment="1" applyBorder="1" applyFont="1" applyNumberFormat="1">
      <alignment horizontal="center" vertical="center"/>
    </xf>
    <xf borderId="9" fillId="0" fontId="24" numFmtId="165" xfId="0" applyAlignment="1" applyBorder="1" applyFont="1" applyNumberFormat="1">
      <alignment horizontal="center"/>
    </xf>
    <xf borderId="29" fillId="0" fontId="16" numFmtId="0" xfId="0" applyBorder="1" applyFont="1"/>
    <xf borderId="9" fillId="0" fontId="16" numFmtId="0" xfId="0" applyAlignment="1" applyBorder="1" applyFont="1">
      <alignment horizontal="center"/>
    </xf>
    <xf borderId="31" fillId="0" fontId="16" numFmtId="2" xfId="0" applyAlignment="1" applyBorder="1" applyFont="1" applyNumberFormat="1">
      <alignment horizontal="center"/>
    </xf>
    <xf borderId="11" fillId="0" fontId="16" numFmtId="0" xfId="0" applyAlignment="1" applyBorder="1" applyFont="1">
      <alignment horizontal="center"/>
    </xf>
    <xf borderId="0" fillId="0" fontId="29" numFmtId="0" xfId="0" applyAlignment="1" applyFont="1">
      <alignment horizontal="left" readingOrder="0" shrinkToFit="0" vertical="center" wrapText="0"/>
    </xf>
    <xf borderId="31" fillId="0" fontId="3" numFmtId="0" xfId="0" applyAlignment="1" applyBorder="1" applyFont="1">
      <alignment horizontal="left" readingOrder="0"/>
    </xf>
    <xf borderId="0" fillId="0" fontId="21" numFmtId="0" xfId="0" applyAlignment="1" applyFont="1">
      <alignment horizontal="left" readingOrder="0" shrinkToFit="0" vertical="center" wrapText="0"/>
    </xf>
    <xf borderId="20" fillId="0" fontId="10" numFmtId="0" xfId="0" applyAlignment="1" applyBorder="1" applyFont="1">
      <alignment horizontal="left" readingOrder="0" shrinkToFit="0" vertical="center" wrapText="1"/>
    </xf>
    <xf borderId="21" fillId="0" fontId="10" numFmtId="0" xfId="0" applyAlignment="1" applyBorder="1" applyFont="1">
      <alignment horizontal="left" shrinkToFit="0" vertical="center" wrapText="1"/>
    </xf>
    <xf borderId="21" fillId="0" fontId="16" numFmtId="0" xfId="0" applyBorder="1" applyFont="1"/>
    <xf borderId="37" fillId="0" fontId="1" numFmtId="164" xfId="0" applyAlignment="1" applyBorder="1" applyFont="1" applyNumberFormat="1">
      <alignment horizontal="left"/>
    </xf>
    <xf borderId="38" fillId="0" fontId="1" numFmtId="164" xfId="0" applyAlignment="1" applyBorder="1" applyFont="1" applyNumberFormat="1">
      <alignment horizontal="center"/>
    </xf>
    <xf borderId="43" fillId="2" fontId="1" numFmtId="164" xfId="0" applyAlignment="1" applyBorder="1" applyFont="1" applyNumberFormat="1">
      <alignment horizontal="left"/>
    </xf>
    <xf borderId="38" fillId="0" fontId="1" numFmtId="164" xfId="0" applyAlignment="1" applyBorder="1" applyFont="1" applyNumberFormat="1">
      <alignment horizontal="left"/>
    </xf>
    <xf borderId="40" fillId="0" fontId="1" numFmtId="164" xfId="0" applyAlignment="1" applyBorder="1" applyFont="1" applyNumberFormat="1">
      <alignment horizontal="left"/>
    </xf>
    <xf borderId="38" fillId="0" fontId="6" numFmtId="0" xfId="0" applyAlignment="1" applyBorder="1" applyFont="1">
      <alignment horizontal="center" shrinkToFit="0" vertical="top" wrapText="0"/>
    </xf>
    <xf borderId="19" fillId="0" fontId="4" numFmtId="0" xfId="0" applyBorder="1" applyFont="1"/>
    <xf borderId="0" fillId="0" fontId="6" numFmtId="0" xfId="0" applyAlignment="1" applyFont="1">
      <alignment horizontal="center" shrinkToFit="0" vertical="top" wrapText="0"/>
    </xf>
    <xf borderId="31" fillId="0" fontId="4" numFmtId="0" xfId="0" applyBorder="1" applyFont="1"/>
    <xf borderId="19" fillId="0" fontId="5" numFmtId="0" xfId="0" applyAlignment="1" applyBorder="1" applyFont="1">
      <alignment horizontal="left" readingOrder="0" shrinkToFit="0" vertical="center" wrapText="1"/>
    </xf>
    <xf borderId="44" fillId="0" fontId="5" numFmtId="0" xfId="0" applyAlignment="1" applyBorder="1" applyFont="1">
      <alignment horizontal="left" readingOrder="0" shrinkToFit="0" vertical="center" wrapText="1"/>
    </xf>
    <xf borderId="45" fillId="0" fontId="6" numFmtId="0" xfId="0" applyAlignment="1" applyBorder="1" applyFont="1">
      <alignment horizontal="center" shrinkToFit="0" vertical="top" wrapText="0"/>
    </xf>
    <xf borderId="46" fillId="0" fontId="10" numFmtId="0" xfId="0" applyAlignment="1" applyBorder="1" applyFont="1">
      <alignment horizontal="left" readingOrder="0" shrinkToFit="0" vertical="center" wrapText="1"/>
    </xf>
    <xf borderId="0" fillId="0" fontId="16" numFmtId="2" xfId="0" applyAlignment="1" applyFont="1" applyNumberFormat="1">
      <alignment horizontal="center" readingOrder="0"/>
    </xf>
    <xf borderId="47" fillId="0" fontId="6" numFmtId="0" xfId="0" applyAlignment="1" applyBorder="1" applyFont="1">
      <alignment horizontal="center" shrinkToFit="0" vertical="top" wrapText="0"/>
    </xf>
    <xf borderId="48" fillId="3" fontId="14" numFmtId="0" xfId="0" applyAlignment="1" applyBorder="1" applyFont="1">
      <alignment horizontal="left"/>
    </xf>
    <xf borderId="44" fillId="0" fontId="3" numFmtId="0" xfId="0" applyAlignment="1" applyBorder="1" applyFont="1">
      <alignment horizontal="left" readingOrder="0"/>
    </xf>
    <xf borderId="45" fillId="0" fontId="7" numFmtId="0" xfId="0" applyBorder="1" applyFont="1"/>
    <xf borderId="19" fillId="0" fontId="22" numFmtId="0" xfId="0" applyAlignment="1" applyBorder="1" applyFont="1">
      <alignment horizontal="left" readingOrder="0" shrinkToFit="0" vertical="center" wrapText="1"/>
    </xf>
    <xf borderId="19" fillId="3" fontId="14" numFmtId="0" xfId="0" applyAlignment="1" applyBorder="1" applyFont="1">
      <alignment horizontal="left" readingOrder="0"/>
    </xf>
    <xf borderId="19" fillId="0" fontId="21" numFmtId="0" xfId="0" applyAlignment="1" applyBorder="1" applyFont="1">
      <alignment horizontal="left" readingOrder="0" shrinkToFit="0" vertical="center" wrapText="1"/>
    </xf>
    <xf borderId="19" fillId="0" fontId="3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1"/>
    </xf>
    <xf borderId="46" fillId="0" fontId="3" numFmtId="0" xfId="0" applyAlignment="1" applyBorder="1" applyFont="1">
      <alignment horizontal="left"/>
    </xf>
    <xf borderId="20" fillId="0" fontId="3" numFmtId="0" xfId="0" applyAlignment="1" applyBorder="1" applyFont="1">
      <alignment horizontal="left" readingOrder="0" shrinkToFit="0" wrapText="1"/>
    </xf>
    <xf borderId="21" fillId="0" fontId="3" numFmtId="0" xfId="0" applyAlignment="1" applyBorder="1" applyFont="1">
      <alignment horizontal="left" readingOrder="0" shrinkToFit="0" wrapText="1"/>
    </xf>
    <xf borderId="47" fillId="0" fontId="16" numFmtId="2" xfId="0" applyAlignment="1" applyBorder="1" applyFont="1" applyNumberFormat="1">
      <alignment horizontal="center"/>
    </xf>
    <xf borderId="48" fillId="4" fontId="16" numFmtId="0" xfId="0" applyAlignment="1" applyBorder="1" applyFont="1">
      <alignment horizontal="left"/>
    </xf>
    <xf borderId="20" fillId="0" fontId="3" numFmtId="0" xfId="0" applyAlignment="1" applyBorder="1" applyFont="1">
      <alignment horizontal="left" readingOrder="0"/>
    </xf>
    <xf borderId="21" fillId="0" fontId="16" numFmtId="0" xfId="0" applyAlignment="1" applyBorder="1" applyFont="1">
      <alignment horizontal="center" readingOrder="0"/>
    </xf>
    <xf borderId="49" fillId="4" fontId="16" numFmtId="0" xfId="0" applyAlignment="1" applyBorder="1" applyFont="1">
      <alignment horizontal="center"/>
    </xf>
    <xf borderId="21" fillId="0" fontId="16" numFmtId="165" xfId="0" applyAlignment="1" applyBorder="1" applyFont="1" applyNumberFormat="1">
      <alignment horizontal="center" readingOrder="0"/>
    </xf>
    <xf borderId="21" fillId="0" fontId="16" numFmtId="2" xfId="0" applyAlignment="1" applyBorder="1" applyFont="1" applyNumberFormat="1">
      <alignment horizontal="center"/>
    </xf>
    <xf borderId="29" fillId="0" fontId="16" numFmtId="2" xfId="0" applyAlignment="1" applyBorder="1" applyFont="1" applyNumberFormat="1">
      <alignment horizontal="center"/>
    </xf>
    <xf borderId="45" fillId="0" fontId="3" numFmtId="0" xfId="0" applyAlignment="1" applyBorder="1" applyFont="1">
      <alignment horizontal="left" readingOrder="0"/>
    </xf>
    <xf borderId="44" fillId="0" fontId="9" numFmtId="0" xfId="0" applyAlignment="1" applyBorder="1" applyFont="1">
      <alignment horizontal="left" readingOrder="0"/>
    </xf>
    <xf borderId="47" fillId="0" fontId="16" numFmtId="0" xfId="0" applyBorder="1" applyFont="1"/>
    <xf borderId="48" fillId="3" fontId="14" numFmtId="0" xfId="0" applyAlignment="1" applyBorder="1" applyFont="1">
      <alignment horizontal="left" readingOrder="0"/>
    </xf>
    <xf borderId="46" fillId="0" fontId="21" numFmtId="0" xfId="0" applyAlignment="1" applyBorder="1" applyFont="1">
      <alignment horizontal="left" readingOrder="0" shrinkToFit="0" vertical="center" wrapText="0"/>
    </xf>
    <xf borderId="31" fillId="0" fontId="16" numFmtId="165" xfId="0" applyAlignment="1" applyBorder="1" applyFont="1" applyNumberFormat="1">
      <alignment horizontal="center" readingOrder="0"/>
    </xf>
    <xf borderId="21" fillId="0" fontId="24" numFmtId="2" xfId="0" applyAlignment="1" applyBorder="1" applyFont="1" applyNumberFormat="1">
      <alignment horizontal="center" vertical="center"/>
    </xf>
    <xf borderId="21" fillId="0" fontId="24" numFmtId="165" xfId="0" applyAlignment="1" applyBorder="1" applyFont="1" applyNumberFormat="1">
      <alignment horizontal="center"/>
    </xf>
    <xf borderId="21" fillId="0" fontId="16" numFmtId="0" xfId="0" applyAlignment="1" applyBorder="1" applyFont="1">
      <alignment horizontal="center"/>
    </xf>
    <xf borderId="29" fillId="0" fontId="16" numFmtId="0" xfId="0" applyAlignment="1" applyBorder="1" applyFont="1">
      <alignment horizontal="center"/>
    </xf>
    <xf borderId="20" fillId="0" fontId="10" numFmtId="0" xfId="0" applyAlignment="1" applyBorder="1" applyFont="1">
      <alignment horizontal="left" shrinkToFit="0" vertical="center" wrapText="1"/>
    </xf>
    <xf borderId="21" fillId="0" fontId="7" numFmtId="0" xfId="0" applyBorder="1" applyFont="1"/>
    <xf borderId="44" fillId="0" fontId="3" numFmtId="0" xfId="0" applyAlignment="1" applyBorder="1" applyFont="1">
      <alignment horizontal="left" readingOrder="0" shrinkToFit="0" wrapText="0"/>
    </xf>
    <xf borderId="45" fillId="0" fontId="16" numFmtId="2" xfId="0" applyAlignment="1" applyBorder="1" applyFont="1" applyNumberFormat="1">
      <alignment horizontal="center"/>
    </xf>
    <xf borderId="46" fillId="0" fontId="30" numFmtId="0" xfId="0" applyAlignment="1" applyBorder="1" applyFont="1">
      <alignment horizontal="left" readingOrder="0" shrinkToFit="0" vertical="center" wrapText="1"/>
    </xf>
    <xf borderId="9" fillId="0" fontId="30" numFmtId="0" xfId="0" applyAlignment="1" applyBorder="1" applyFont="1">
      <alignment horizontal="left" shrinkToFit="0" vertical="center" wrapText="1"/>
    </xf>
    <xf borderId="31" fillId="0" fontId="16" numFmtId="0" xfId="0" applyAlignment="1" applyBorder="1" applyFont="1">
      <alignment horizontal="center"/>
    </xf>
    <xf borderId="19" fillId="0" fontId="9" numFmtId="0" xfId="0" applyAlignment="1" applyBorder="1" applyFont="1">
      <alignment horizontal="left" readingOrder="0"/>
    </xf>
    <xf borderId="5" fillId="0" fontId="21" numFmtId="0" xfId="0" applyAlignment="1" applyBorder="1" applyFont="1">
      <alignment horizontal="left" readingOrder="0" shrinkToFit="0" vertical="center" wrapText="1"/>
    </xf>
    <xf borderId="31" fillId="0" fontId="17" numFmtId="0" xfId="0" applyBorder="1" applyFont="1"/>
    <xf borderId="35" fillId="3" fontId="14" numFmtId="0" xfId="0" applyAlignment="1" applyBorder="1" applyFont="1">
      <alignment horizontal="left" readingOrder="0"/>
    </xf>
    <xf borderId="20" fillId="0" fontId="17" numFmtId="0" xfId="0" applyBorder="1" applyFont="1"/>
    <xf borderId="21" fillId="0" fontId="3" numFmtId="0" xfId="0" applyAlignment="1" applyBorder="1" applyFont="1">
      <alignment horizontal="center"/>
    </xf>
    <xf borderId="21" fillId="0" fontId="17" numFmtId="0" xfId="0" applyBorder="1" applyFont="1"/>
    <xf borderId="29" fillId="0" fontId="17" numFmtId="0" xfId="0" applyBorder="1" applyFont="1"/>
    <xf borderId="31" fillId="0" fontId="16" numFmtId="0" xfId="0" applyAlignment="1" applyBorder="1" applyFont="1">
      <alignment readingOrder="0"/>
    </xf>
    <xf borderId="19" fillId="0" fontId="16" numFmtId="0" xfId="0" applyAlignment="1" applyBorder="1" applyFont="1">
      <alignment horizontal="left"/>
    </xf>
    <xf borderId="38" fillId="2" fontId="1" numFmtId="164" xfId="0" applyAlignment="1" applyBorder="1" applyFont="1" applyNumberFormat="1">
      <alignment horizontal="left"/>
    </xf>
    <xf borderId="3" fillId="0" fontId="16" numFmtId="2" xfId="0" applyAlignment="1" applyBorder="1" applyFont="1" applyNumberFormat="1">
      <alignment horizontal="center" readingOrder="0"/>
    </xf>
    <xf borderId="0" fillId="0" fontId="16" numFmtId="168" xfId="0" applyAlignment="1" applyFont="1" applyNumberFormat="1">
      <alignment horizontal="center" readingOrder="0"/>
    </xf>
    <xf borderId="0" fillId="0" fontId="17" numFmtId="0" xfId="0" applyAlignment="1" applyFont="1">
      <alignment readingOrder="0"/>
    </xf>
    <xf borderId="0" fillId="0" fontId="3" numFmtId="169" xfId="0" applyAlignment="1" applyFont="1" applyNumberFormat="1">
      <alignment horizontal="center" readingOrder="0"/>
    </xf>
    <xf borderId="19" fillId="0" fontId="17" numFmtId="0" xfId="0" applyBorder="1" applyFont="1"/>
    <xf borderId="0" fillId="0" fontId="31" numFmtId="0" xfId="0" applyAlignment="1" applyFont="1">
      <alignment horizontal="center" readingOrder="0"/>
    </xf>
    <xf borderId="0" fillId="0" fontId="31" numFmtId="165" xfId="0" applyAlignment="1" applyFont="1" applyNumberFormat="1">
      <alignment horizontal="center" readingOrder="0"/>
    </xf>
    <xf borderId="20" fillId="0" fontId="17" numFmtId="0" xfId="0" applyAlignment="1" applyBorder="1" applyFont="1">
      <alignment readingOrder="0"/>
    </xf>
    <xf borderId="0" fillId="0" fontId="5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19" fillId="0" fontId="31" numFmtId="0" xfId="0" applyAlignment="1" applyBorder="1" applyFont="1">
      <alignment horizontal="left" readingOrder="0"/>
    </xf>
    <xf borderId="12" fillId="0" fontId="16" numFmtId="0" xfId="0" applyAlignment="1" applyBorder="1" applyFont="1">
      <alignment horizontal="left"/>
    </xf>
    <xf borderId="14" fillId="4" fontId="16" numFmtId="0" xfId="0" applyAlignment="1" applyBorder="1" applyFont="1">
      <alignment horizontal="left"/>
    </xf>
    <xf borderId="14" fillId="4" fontId="24" numFmtId="2" xfId="0" applyAlignment="1" applyBorder="1" applyFont="1" applyNumberFormat="1">
      <alignment horizontal="center" vertical="center"/>
    </xf>
    <xf borderId="14" fillId="4" fontId="24" numFmtId="165" xfId="0" applyAlignment="1" applyBorder="1" applyFont="1" applyNumberFormat="1">
      <alignment horizontal="center"/>
    </xf>
    <xf borderId="14" fillId="4" fontId="16" numFmtId="0" xfId="0" applyAlignment="1" applyBorder="1" applyFont="1">
      <alignment horizontal="center"/>
    </xf>
    <xf borderId="50" fillId="0" fontId="3" numFmtId="0" xfId="0" applyAlignment="1" applyBorder="1" applyFont="1">
      <alignment horizontal="left"/>
    </xf>
    <xf borderId="50" fillId="0" fontId="24" numFmtId="2" xfId="0" applyAlignment="1" applyBorder="1" applyFont="1" applyNumberFormat="1">
      <alignment horizontal="center" vertical="center"/>
    </xf>
    <xf borderId="50" fillId="0" fontId="24" numFmtId="165" xfId="0" applyAlignment="1" applyBorder="1" applyFont="1" applyNumberFormat="1">
      <alignment horizontal="center"/>
    </xf>
    <xf borderId="50" fillId="0" fontId="16" numFmtId="0" xfId="0" applyAlignment="1" applyBorder="1" applyFont="1">
      <alignment horizontal="center"/>
    </xf>
    <xf borderId="50" fillId="0" fontId="16" numFmtId="0" xfId="0" applyAlignment="1" applyBorder="1" applyFont="1">
      <alignment horizontal="left"/>
    </xf>
    <xf borderId="51" fillId="0" fontId="10" numFmtId="0" xfId="0" applyAlignment="1" applyBorder="1" applyFont="1">
      <alignment horizontal="left" shrinkToFit="0" vertical="center" wrapText="1"/>
    </xf>
    <xf borderId="52" fillId="0" fontId="7" numFmtId="0" xfId="0" applyBorder="1" applyFont="1"/>
    <xf borderId="53" fillId="0" fontId="7" numFmtId="0" xfId="0" applyBorder="1" applyFont="1"/>
    <xf borderId="50" fillId="0" fontId="3" numFmtId="0" xfId="0" applyAlignment="1" applyBorder="1" applyFont="1">
      <alignment horizontal="center"/>
    </xf>
    <xf borderId="50" fillId="0" fontId="3" numFmtId="165" xfId="0" applyAlignment="1" applyBorder="1" applyFont="1" applyNumberFormat="1">
      <alignment horizontal="center"/>
    </xf>
    <xf borderId="51" fillId="0" fontId="16" numFmtId="2" xfId="0" applyAlignment="1" applyBorder="1" applyFont="1" applyNumberFormat="1">
      <alignment horizontal="center"/>
    </xf>
    <xf borderId="50" fillId="0" fontId="26" numFmtId="2" xfId="0" applyAlignment="1" applyBorder="1" applyFont="1" applyNumberFormat="1">
      <alignment horizontal="center" vertical="center"/>
    </xf>
    <xf borderId="50" fillId="0" fontId="26" numFmtId="165" xfId="0" applyAlignment="1" applyBorder="1" applyFont="1" applyNumberFormat="1">
      <alignment horizontal="center"/>
    </xf>
    <xf borderId="50" fillId="0" fontId="3" numFmtId="166" xfId="0" applyAlignment="1" applyBorder="1" applyFont="1" applyNumberFormat="1">
      <alignment horizontal="center"/>
    </xf>
    <xf borderId="51" fillId="0" fontId="27" numFmtId="0" xfId="0" applyAlignment="1" applyBorder="1" applyFont="1">
      <alignment horizontal="left"/>
    </xf>
    <xf borderId="24" fillId="0" fontId="16" numFmtId="0" xfId="0" applyAlignment="1" applyBorder="1" applyFont="1">
      <alignment horizontal="left"/>
    </xf>
    <xf borderId="24" fillId="0" fontId="16" numFmtId="2" xfId="0" applyAlignment="1" applyBorder="1" applyFont="1" applyNumberFormat="1">
      <alignment horizontal="center"/>
    </xf>
    <xf borderId="0" fillId="0" fontId="32" numFmtId="0" xfId="0" applyAlignment="1" applyFont="1">
      <alignment horizontal="left" shrinkToFit="0" vertical="center" wrapText="1"/>
    </xf>
    <xf borderId="0" fillId="0" fontId="33" numFmtId="0" xfId="0" applyAlignment="1" applyFont="1">
      <alignment horizontal="left" shrinkToFit="0" vertical="center" wrapText="1"/>
    </xf>
    <xf borderId="12" fillId="0" fontId="3" numFmtId="169" xfId="0" applyAlignment="1" applyBorder="1" applyFont="1" applyNumberFormat="1">
      <alignment horizontal="center"/>
    </xf>
    <xf borderId="12" fillId="0" fontId="34" numFmtId="0" xfId="0" applyAlignment="1" applyBorder="1" applyFont="1">
      <alignment horizontal="left"/>
    </xf>
    <xf borderId="14" fillId="3" fontId="14" numFmtId="0" xfId="0" applyAlignment="1" applyBorder="1" applyFont="1">
      <alignment horizontal="left"/>
    </xf>
    <xf borderId="54" fillId="0" fontId="23" numFmtId="0" xfId="0" applyBorder="1" applyFont="1"/>
    <xf borderId="54" fillId="0" fontId="3" numFmtId="0" xfId="0" applyAlignment="1" applyBorder="1" applyFont="1">
      <alignment horizontal="left"/>
    </xf>
    <xf borderId="18" fillId="0" fontId="27" numFmtId="0" xfId="0" applyAlignment="1" applyBorder="1" applyFont="1">
      <alignment horizontal="left"/>
    </xf>
    <xf borderId="54" fillId="0" fontId="3" numFmtId="0" xfId="0" applyAlignment="1" applyBorder="1" applyFont="1">
      <alignment horizontal="center"/>
    </xf>
    <xf borderId="54" fillId="0" fontId="3" numFmtId="165" xfId="0" applyAlignment="1" applyBorder="1" applyFont="1" applyNumberFormat="1">
      <alignment horizontal="center"/>
    </xf>
    <xf borderId="55" fillId="0" fontId="16" numFmtId="2" xfId="0" applyAlignment="1" applyBorder="1" applyFont="1" applyNumberFormat="1">
      <alignment horizontal="center"/>
    </xf>
    <xf borderId="56" fillId="0" fontId="7" numFmtId="0" xfId="0" applyBorder="1" applyFont="1"/>
    <xf borderId="54" fillId="0" fontId="26" numFmtId="2" xfId="0" applyAlignment="1" applyBorder="1" applyFont="1" applyNumberFormat="1">
      <alignment horizontal="center" vertical="center"/>
    </xf>
    <xf borderId="54" fillId="0" fontId="26" numFmtId="165" xfId="0" applyAlignment="1" applyBorder="1" applyFont="1" applyNumberFormat="1">
      <alignment horizontal="center"/>
    </xf>
    <xf borderId="54" fillId="0" fontId="3" numFmtId="166" xfId="0" applyAlignment="1" applyBorder="1" applyFont="1" applyNumberFormat="1">
      <alignment horizontal="center"/>
    </xf>
    <xf borderId="55" fillId="0" fontId="27" numFmtId="0" xfId="0" applyAlignment="1" applyBorder="1" applyFont="1">
      <alignment horizontal="left"/>
    </xf>
    <xf borderId="57" fillId="0" fontId="7" numFmtId="0" xfId="0" applyBorder="1" applyFont="1"/>
    <xf borderId="54" fillId="0" fontId="3" numFmtId="0" xfId="0" applyBorder="1" applyFont="1"/>
    <xf borderId="12" fillId="0" fontId="31" numFmtId="2" xfId="0" applyAlignment="1" applyBorder="1" applyFont="1" applyNumberFormat="1">
      <alignment horizontal="center"/>
    </xf>
    <xf borderId="18" fillId="0" fontId="31" numFmtId="0" xfId="0" applyAlignment="1" applyBorder="1" applyFont="1">
      <alignment horizontal="left"/>
    </xf>
    <xf borderId="0" fillId="0" fontId="35" numFmtId="0" xfId="0" applyAlignment="1" applyFont="1">
      <alignment horizontal="left" shrinkToFit="0" vertical="center" wrapText="1"/>
    </xf>
    <xf borderId="0" fillId="0" fontId="31" numFmtId="0" xfId="0" applyFont="1"/>
    <xf borderId="1" fillId="3" fontId="13" numFmtId="166" xfId="0" applyAlignment="1" applyBorder="1" applyFont="1" applyNumberFormat="1">
      <alignment horizontal="center"/>
    </xf>
    <xf borderId="12" fillId="0" fontId="3" numFmtId="165" xfId="0" applyAlignment="1" applyBorder="1" applyFont="1" applyNumberFormat="1">
      <alignment horizontal="center" vertical="center"/>
    </xf>
    <xf borderId="12" fillId="0" fontId="9" numFmtId="0" xfId="0" applyAlignment="1" applyBorder="1" applyFont="1">
      <alignment horizontal="center"/>
    </xf>
    <xf borderId="12" fillId="0" fontId="3" numFmtId="166" xfId="0" applyAlignment="1" applyBorder="1" applyFont="1" applyNumberFormat="1">
      <alignment horizontal="center"/>
    </xf>
    <xf borderId="12" fillId="0" fontId="36" numFmtId="166" xfId="0" applyAlignment="1" applyBorder="1" applyFont="1" applyNumberFormat="1">
      <alignment horizontal="center"/>
    </xf>
    <xf borderId="1" fillId="7" fontId="3" numFmtId="0" xfId="0" applyAlignment="1" applyBorder="1" applyFill="1" applyFont="1">
      <alignment horizontal="center"/>
    </xf>
    <xf borderId="12" fillId="0" fontId="37" numFmtId="166" xfId="0" applyAlignment="1" applyBorder="1" applyFont="1" applyNumberFormat="1">
      <alignment horizontal="center"/>
    </xf>
    <xf borderId="0" fillId="0" fontId="1" numFmtId="166" xfId="0" applyAlignment="1" applyFont="1" applyNumberFormat="1">
      <alignment horizontal="left"/>
    </xf>
    <xf borderId="0" fillId="0" fontId="4" numFmtId="166" xfId="0" applyFont="1" applyNumberFormat="1"/>
    <xf borderId="0" fillId="0" fontId="5" numFmtId="166" xfId="0" applyAlignment="1" applyFont="1" applyNumberFormat="1">
      <alignment horizontal="left" shrinkToFit="0" vertical="center" wrapText="1"/>
    </xf>
    <xf borderId="0" fillId="0" fontId="3" numFmtId="0" xfId="0" applyAlignment="1" applyFont="1">
      <alignment vertical="center"/>
    </xf>
    <xf borderId="0" fillId="0" fontId="3" numFmtId="14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0" fillId="0" fontId="5" numFmtId="166" xfId="0" applyAlignment="1" applyFont="1" applyNumberFormat="1">
      <alignment shrinkToFit="0" vertical="center" wrapText="1"/>
    </xf>
    <xf borderId="8" fillId="8" fontId="38" numFmtId="0" xfId="0" applyAlignment="1" applyBorder="1" applyFill="1" applyFont="1">
      <alignment horizontal="left" shrinkToFit="0" vertical="center" wrapText="1"/>
    </xf>
    <xf borderId="0" fillId="0" fontId="39" numFmtId="166" xfId="0" applyAlignment="1" applyFont="1" applyNumberFormat="1">
      <alignment horizontal="left" shrinkToFit="0" vertical="center" wrapText="1"/>
    </xf>
    <xf borderId="0" fillId="0" fontId="39" numFmtId="0" xfId="0" applyAlignment="1" applyFont="1">
      <alignment horizontal="left" shrinkToFit="0" vertical="center" wrapText="1"/>
    </xf>
    <xf borderId="0" fillId="0" fontId="3" numFmtId="166" xfId="0" applyAlignment="1" applyFont="1" applyNumberFormat="1">
      <alignment horizontal="center"/>
    </xf>
    <xf borderId="12" fillId="0" fontId="40" numFmtId="166" xfId="0" applyAlignment="1" applyBorder="1" applyFont="1" applyNumberFormat="1">
      <alignment horizontal="center"/>
    </xf>
    <xf borderId="1" fillId="4" fontId="3" numFmtId="0" xfId="0" applyAlignment="1" applyBorder="1" applyFont="1">
      <alignment horizontal="left"/>
    </xf>
    <xf borderId="1" fillId="4" fontId="3" numFmtId="0" xfId="0" applyAlignment="1" applyBorder="1" applyFont="1">
      <alignment horizontal="center"/>
    </xf>
    <xf borderId="1" fillId="4" fontId="3" numFmtId="166" xfId="0" applyBorder="1" applyFont="1" applyNumberFormat="1"/>
    <xf borderId="1" fillId="4" fontId="26" numFmtId="166" xfId="0" applyAlignment="1" applyBorder="1" applyFont="1" applyNumberFormat="1">
      <alignment horizontal="center"/>
    </xf>
    <xf borderId="0" fillId="0" fontId="3" numFmtId="166" xfId="0" applyFont="1" applyNumberFormat="1"/>
    <xf borderId="0" fillId="0" fontId="26" numFmtId="166" xfId="0" applyFont="1" applyNumberFormat="1"/>
    <xf borderId="8" fillId="8" fontId="41" numFmtId="0" xfId="0" applyAlignment="1" applyBorder="1" applyFont="1">
      <alignment horizontal="left" shrinkToFit="0" vertical="center" wrapText="1"/>
    </xf>
    <xf borderId="0" fillId="0" fontId="42" numFmtId="0" xfId="0" applyFont="1"/>
    <xf borderId="17" fillId="4" fontId="3" numFmtId="165" xfId="0" applyAlignment="1" applyBorder="1" applyFont="1" applyNumberFormat="1">
      <alignment horizontal="center"/>
    </xf>
    <xf borderId="0" fillId="0" fontId="27" numFmtId="0" xfId="0" applyAlignment="1" applyFont="1">
      <alignment shrinkToFit="0" wrapText="1"/>
    </xf>
    <xf borderId="0" fillId="0" fontId="27" numFmtId="0" xfId="0" applyAlignment="1" applyFont="1">
      <alignment horizontal="center" shrinkToFit="0" wrapText="1"/>
    </xf>
    <xf borderId="58" fillId="0" fontId="27" numFmtId="0" xfId="0" applyAlignment="1" applyBorder="1" applyFont="1">
      <alignment horizontal="center" shrinkToFit="0" wrapText="1"/>
    </xf>
    <xf borderId="0" fillId="0" fontId="27" numFmtId="0" xfId="0" applyAlignment="1" applyFont="1">
      <alignment horizontal="right" shrinkToFit="0" wrapText="1"/>
    </xf>
    <xf borderId="59" fillId="0" fontId="27" numFmtId="0" xfId="0" applyAlignment="1" applyBorder="1" applyFont="1">
      <alignment shrinkToFit="0" wrapText="1"/>
    </xf>
    <xf borderId="60" fillId="0" fontId="27" numFmtId="0" xfId="0" applyAlignment="1" applyBorder="1" applyFont="1">
      <alignment horizontal="center" shrinkToFit="0" vertical="center" wrapText="1"/>
    </xf>
    <xf borderId="60" fillId="0" fontId="27" numFmtId="0" xfId="0" applyAlignment="1" applyBorder="1" applyFont="1">
      <alignment horizontal="center" shrinkToFit="0" wrapText="1"/>
    </xf>
    <xf borderId="61" fillId="0" fontId="27" numFmtId="0" xfId="0" applyAlignment="1" applyBorder="1" applyFont="1">
      <alignment horizontal="center" shrinkToFit="0" wrapText="1"/>
    </xf>
    <xf borderId="62" fillId="0" fontId="27" numFmtId="0" xfId="0" applyAlignment="1" applyBorder="1" applyFont="1">
      <alignment horizontal="center" shrinkToFit="0" wrapText="1"/>
    </xf>
    <xf borderId="58" fillId="0" fontId="27" numFmtId="0" xfId="0" applyAlignment="1" applyBorder="1" applyFont="1">
      <alignment horizontal="center" shrinkToFit="0" vertical="center" wrapText="1"/>
    </xf>
    <xf borderId="0" fillId="0" fontId="27" numFmtId="0" xfId="0" applyAlignment="1" applyFont="1">
      <alignment vertical="center"/>
    </xf>
    <xf borderId="60" fillId="0" fontId="43" numFmtId="0" xfId="0" applyAlignment="1" applyBorder="1" applyFont="1">
      <alignment horizontal="center" shrinkToFit="0" wrapText="1"/>
    </xf>
    <xf borderId="63" fillId="9" fontId="27" numFmtId="0" xfId="0" applyAlignment="1" applyBorder="1" applyFill="1" applyFont="1">
      <alignment horizontal="center" shrinkToFit="0" vertical="center" wrapText="1"/>
    </xf>
    <xf borderId="63" fillId="9" fontId="27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42" Type="http://schemas.openxmlformats.org/officeDocument/2006/relationships/worksheet" Target="worksheets/sheet38.xml"/><Relationship Id="rId86" Type="http://schemas.openxmlformats.org/officeDocument/2006/relationships/worksheet" Target="worksheets/sheet82.xml"/><Relationship Id="rId41" Type="http://schemas.openxmlformats.org/officeDocument/2006/relationships/worksheet" Target="worksheets/sheet37.xml"/><Relationship Id="rId85" Type="http://schemas.openxmlformats.org/officeDocument/2006/relationships/worksheet" Target="worksheets/sheet81.xml"/><Relationship Id="rId44" Type="http://schemas.openxmlformats.org/officeDocument/2006/relationships/worksheet" Target="worksheets/sheet40.xml"/><Relationship Id="rId88" Type="http://schemas.openxmlformats.org/officeDocument/2006/relationships/worksheet" Target="worksheets/sheet84.xml"/><Relationship Id="rId43" Type="http://schemas.openxmlformats.org/officeDocument/2006/relationships/worksheet" Target="worksheets/sheet39.xml"/><Relationship Id="rId87" Type="http://schemas.openxmlformats.org/officeDocument/2006/relationships/worksheet" Target="worksheets/sheet83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88"/>
    <col customWidth="1" min="2" max="2" width="34.13"/>
    <col customWidth="1" min="3" max="3" width="19.25"/>
    <col customWidth="1" min="4" max="4" width="25.0"/>
    <col customWidth="1" min="5" max="5" width="21.0"/>
    <col customWidth="1" min="6" max="6" width="19.38"/>
    <col customWidth="1" min="7" max="7" width="13.88"/>
    <col customWidth="1" min="8" max="8" width="28.75"/>
    <col customWidth="1" min="9" max="11" width="8.88"/>
    <col customWidth="1" min="12" max="26" width="14.38"/>
  </cols>
  <sheetData>
    <row r="1" ht="6.75" customHeight="1">
      <c r="A1" s="1"/>
      <c r="B1" s="2"/>
      <c r="C1" s="2"/>
      <c r="D1" s="3"/>
      <c r="E1" s="3"/>
      <c r="F1" s="4"/>
      <c r="G1" s="4"/>
      <c r="H1" s="4"/>
      <c r="I1" s="4"/>
      <c r="J1" s="4"/>
      <c r="K1" s="4"/>
    </row>
    <row r="2">
      <c r="A2" s="5"/>
      <c r="B2" s="5"/>
      <c r="C2" s="5"/>
      <c r="D2" s="5"/>
      <c r="E2" s="5"/>
      <c r="F2" s="5"/>
      <c r="G2" s="5"/>
      <c r="H2" s="5"/>
    </row>
    <row r="3" ht="72.0" customHeight="1">
      <c r="A3" s="8" t="s">
        <v>0</v>
      </c>
      <c r="F3" s="4"/>
      <c r="G3" s="9"/>
      <c r="H3" s="10" t="s">
        <v>2</v>
      </c>
      <c r="I3" s="4"/>
      <c r="J3" s="4"/>
      <c r="K3" s="4"/>
    </row>
    <row r="4">
      <c r="A4" s="17" t="s">
        <v>4</v>
      </c>
      <c r="B4" s="20"/>
      <c r="C4" s="22"/>
      <c r="D4" s="24"/>
      <c r="E4" s="24"/>
      <c r="F4" s="27"/>
      <c r="G4" s="5"/>
      <c r="H4" s="5"/>
    </row>
    <row r="5">
      <c r="A5" s="27"/>
      <c r="B5" s="27"/>
      <c r="C5" s="27"/>
      <c r="D5" s="27"/>
      <c r="E5" s="27"/>
      <c r="F5" s="27"/>
      <c r="G5" s="5"/>
      <c r="H5" s="5"/>
    </row>
    <row r="6">
      <c r="A6" s="31" t="s">
        <v>11</v>
      </c>
      <c r="B6" s="31" t="s">
        <v>13</v>
      </c>
      <c r="C6" s="33" t="s">
        <v>15</v>
      </c>
      <c r="D6" s="33" t="s">
        <v>17</v>
      </c>
      <c r="E6" s="33" t="s">
        <v>18</v>
      </c>
      <c r="F6" s="36" t="s">
        <v>19</v>
      </c>
      <c r="G6" s="38"/>
      <c r="H6" s="38"/>
      <c r="I6" s="5"/>
      <c r="J6" s="5"/>
      <c r="K6" s="5"/>
    </row>
    <row r="7">
      <c r="A7" s="40"/>
      <c r="B7" s="42"/>
      <c r="C7" s="44"/>
      <c r="D7" s="46"/>
      <c r="E7" s="40"/>
      <c r="F7" s="40"/>
      <c r="G7" s="47"/>
      <c r="H7" s="47"/>
    </row>
    <row r="8">
      <c r="A8" s="40"/>
      <c r="B8" s="42"/>
      <c r="C8" s="44"/>
      <c r="D8" s="46"/>
      <c r="E8" s="40"/>
      <c r="F8" s="40"/>
      <c r="G8" s="47"/>
      <c r="H8" s="47"/>
    </row>
    <row r="9">
      <c r="A9" s="40"/>
      <c r="B9" s="42"/>
      <c r="C9" s="44"/>
      <c r="D9" s="46"/>
      <c r="E9" s="40"/>
      <c r="F9" s="40"/>
      <c r="G9" s="47"/>
      <c r="H9" s="47"/>
    </row>
    <row r="10">
      <c r="A10" s="40"/>
      <c r="B10" s="42"/>
      <c r="C10" s="44"/>
      <c r="D10" s="46"/>
      <c r="E10" s="40"/>
      <c r="F10" s="40"/>
      <c r="G10" s="47"/>
      <c r="H10" s="47"/>
    </row>
    <row r="11">
      <c r="A11" s="40"/>
      <c r="B11" s="42"/>
      <c r="C11" s="44"/>
      <c r="D11" s="46"/>
      <c r="E11" s="40"/>
      <c r="F11" s="40"/>
      <c r="G11" s="47"/>
      <c r="H11" s="47"/>
    </row>
    <row r="12">
      <c r="A12" s="40"/>
      <c r="B12" s="42"/>
      <c r="C12" s="44"/>
      <c r="D12" s="46"/>
      <c r="E12" s="40"/>
      <c r="F12" s="40"/>
      <c r="G12" s="47"/>
      <c r="H12" s="47"/>
    </row>
    <row r="13">
      <c r="A13" s="40"/>
      <c r="B13" s="42"/>
      <c r="C13" s="44"/>
      <c r="D13" s="46"/>
      <c r="E13" s="40"/>
      <c r="F13" s="40"/>
      <c r="G13" s="47"/>
      <c r="H13" s="47"/>
    </row>
    <row r="14">
      <c r="A14" s="40"/>
      <c r="B14" s="42"/>
      <c r="C14" s="44"/>
      <c r="D14" s="46"/>
      <c r="E14" s="40"/>
      <c r="F14" s="40"/>
      <c r="G14" s="47"/>
      <c r="H14" s="47"/>
    </row>
    <row r="15">
      <c r="A15" s="40"/>
      <c r="B15" s="42"/>
      <c r="C15" s="44"/>
      <c r="D15" s="46"/>
      <c r="E15" s="40"/>
      <c r="F15" s="40"/>
      <c r="G15" s="47"/>
      <c r="H15" s="47"/>
    </row>
    <row r="16">
      <c r="A16" s="40"/>
      <c r="B16" s="42"/>
      <c r="C16" s="44"/>
      <c r="D16" s="46"/>
      <c r="E16" s="40"/>
      <c r="F16" s="40"/>
      <c r="G16" s="47"/>
      <c r="H16" s="47"/>
    </row>
    <row r="17">
      <c r="A17" s="40"/>
      <c r="B17" s="42"/>
      <c r="C17" s="44"/>
      <c r="D17" s="46"/>
      <c r="E17" s="40"/>
      <c r="F17" s="40"/>
      <c r="G17" s="47"/>
      <c r="H17" s="47"/>
    </row>
    <row r="18">
      <c r="A18" s="40"/>
      <c r="B18" s="42"/>
      <c r="C18" s="44"/>
      <c r="D18" s="46"/>
      <c r="E18" s="40"/>
      <c r="F18" s="40"/>
      <c r="G18" s="47"/>
      <c r="H18" s="47"/>
    </row>
    <row r="19">
      <c r="A19" s="40"/>
      <c r="B19" s="42"/>
      <c r="C19" s="44"/>
      <c r="D19" s="46"/>
      <c r="E19" s="40"/>
      <c r="F19" s="40"/>
      <c r="G19" s="47"/>
      <c r="H19" s="47"/>
    </row>
    <row r="20">
      <c r="A20" s="40"/>
      <c r="B20" s="42"/>
      <c r="C20" s="44"/>
      <c r="D20" s="46"/>
      <c r="E20" s="40"/>
      <c r="F20" s="40"/>
      <c r="G20" s="47"/>
      <c r="H20" s="47"/>
    </row>
    <row r="21" ht="15.75" customHeight="1">
      <c r="A21" s="40"/>
      <c r="B21" s="42"/>
      <c r="C21" s="44"/>
      <c r="D21" s="46"/>
      <c r="E21" s="40"/>
      <c r="F21" s="40"/>
      <c r="G21" s="47"/>
      <c r="H21" s="47"/>
    </row>
    <row r="22" ht="15.75" customHeight="1">
      <c r="A22" s="40"/>
      <c r="B22" s="42"/>
      <c r="C22" s="44"/>
      <c r="D22" s="46"/>
      <c r="E22" s="40"/>
      <c r="F22" s="40"/>
      <c r="G22" s="47"/>
      <c r="H22" s="47"/>
    </row>
    <row r="23" ht="15.75" customHeight="1">
      <c r="A23" s="40"/>
      <c r="B23" s="42"/>
      <c r="C23" s="44"/>
      <c r="D23" s="46"/>
      <c r="E23" s="40"/>
      <c r="F23" s="40"/>
      <c r="G23" s="47"/>
      <c r="H23" s="47"/>
    </row>
    <row r="24" ht="15.75" customHeight="1">
      <c r="A24" s="40"/>
      <c r="B24" s="42"/>
      <c r="C24" s="44"/>
      <c r="D24" s="46"/>
      <c r="E24" s="40"/>
      <c r="F24" s="40"/>
      <c r="G24" s="47"/>
      <c r="H24" s="47"/>
    </row>
    <row r="25" ht="15.75" customHeight="1">
      <c r="A25" s="40"/>
      <c r="B25" s="42"/>
      <c r="C25" s="44"/>
      <c r="D25" s="46"/>
      <c r="E25" s="40"/>
      <c r="F25" s="40"/>
      <c r="G25" s="47"/>
      <c r="H25" s="47"/>
    </row>
    <row r="26" ht="15.75" customHeight="1">
      <c r="A26" s="40"/>
      <c r="B26" s="42"/>
      <c r="C26" s="44"/>
      <c r="D26" s="46"/>
      <c r="E26" s="40"/>
      <c r="F26" s="40"/>
      <c r="G26" s="47"/>
      <c r="H26" s="47"/>
    </row>
    <row r="27" ht="15.75" customHeight="1">
      <c r="A27" s="40"/>
      <c r="B27" s="42"/>
      <c r="C27" s="44"/>
      <c r="D27" s="46"/>
      <c r="E27" s="40"/>
      <c r="F27" s="40"/>
      <c r="G27" s="47"/>
      <c r="H27" s="47"/>
    </row>
    <row r="28" ht="15.75" customHeight="1">
      <c r="A28" s="40"/>
      <c r="B28" s="42"/>
      <c r="C28" s="44"/>
      <c r="D28" s="46"/>
      <c r="E28" s="40"/>
      <c r="F28" s="40"/>
      <c r="G28" s="47"/>
      <c r="H28" s="47"/>
    </row>
    <row r="29" ht="15.75" customHeight="1">
      <c r="A29" s="40"/>
      <c r="B29" s="42"/>
      <c r="C29" s="44"/>
      <c r="D29" s="46"/>
      <c r="E29" s="40"/>
      <c r="F29" s="40"/>
      <c r="G29" s="47"/>
      <c r="H29" s="47"/>
    </row>
    <row r="30" ht="15.75" customHeight="1">
      <c r="A30" s="40"/>
      <c r="B30" s="42"/>
      <c r="C30" s="44"/>
      <c r="D30" s="46"/>
      <c r="E30" s="40"/>
      <c r="F30" s="40"/>
      <c r="G30" s="47"/>
      <c r="H30" s="47"/>
    </row>
    <row r="31" ht="15.75" customHeight="1">
      <c r="A31" s="40"/>
      <c r="B31" s="42"/>
      <c r="C31" s="44"/>
      <c r="D31" s="46"/>
      <c r="E31" s="40"/>
      <c r="F31" s="40"/>
      <c r="G31" s="47"/>
      <c r="H31" s="47"/>
    </row>
    <row r="32" ht="15.75" customHeight="1">
      <c r="A32" s="40"/>
      <c r="B32" s="42"/>
      <c r="C32" s="44"/>
      <c r="D32" s="46"/>
      <c r="E32" s="40"/>
      <c r="F32" s="40"/>
      <c r="G32" s="47"/>
      <c r="H32" s="47"/>
    </row>
    <row r="33" ht="15.75" customHeight="1">
      <c r="A33" s="5"/>
      <c r="B33" s="91"/>
      <c r="C33" s="92"/>
      <c r="D33" s="93"/>
      <c r="E33" s="93"/>
      <c r="F33" s="40"/>
      <c r="G33" s="47"/>
      <c r="H33" s="47"/>
    </row>
    <row r="34" ht="15.75" customHeight="1">
      <c r="A34" s="5"/>
      <c r="B34" s="91"/>
      <c r="C34" s="92"/>
      <c r="D34" s="93"/>
      <c r="E34" s="93"/>
      <c r="F34" s="40"/>
      <c r="G34" s="47"/>
      <c r="H34" s="47"/>
    </row>
    <row r="35" ht="15.75" customHeight="1">
      <c r="A35" s="5"/>
      <c r="B35" s="91"/>
      <c r="C35" s="92"/>
      <c r="D35" s="93"/>
      <c r="E35" s="93"/>
      <c r="F35" s="40"/>
      <c r="G35" s="47"/>
      <c r="H35" s="47"/>
    </row>
    <row r="36" ht="15.75" customHeight="1">
      <c r="A36" s="5"/>
      <c r="B36" s="91"/>
      <c r="C36" s="92"/>
      <c r="D36" s="93"/>
      <c r="E36" s="93"/>
      <c r="F36" s="40" t="s">
        <v>55</v>
      </c>
      <c r="G36" s="47"/>
      <c r="H36" s="47"/>
    </row>
    <row r="37" ht="15.75" customHeight="1">
      <c r="A37" s="5"/>
      <c r="B37" s="91"/>
      <c r="C37" s="92"/>
      <c r="D37" s="93"/>
      <c r="E37" s="93"/>
      <c r="F37" s="5"/>
      <c r="G37" s="5"/>
      <c r="H37" s="5"/>
    </row>
    <row r="38" ht="15.75" customHeight="1">
      <c r="A38" s="5"/>
      <c r="B38" s="91"/>
      <c r="C38" s="92"/>
      <c r="D38" s="93"/>
      <c r="E38" s="93"/>
      <c r="F38" s="5"/>
      <c r="G38" s="5"/>
      <c r="H38" s="5"/>
    </row>
    <row r="39" ht="15.75" customHeight="1">
      <c r="A39" s="101"/>
      <c r="B39" s="104"/>
      <c r="C39" s="105"/>
      <c r="D39" s="106"/>
      <c r="E39" s="106"/>
      <c r="F39" s="101"/>
      <c r="G39" s="101"/>
      <c r="H39" s="101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101"/>
      <c r="B40" s="104"/>
      <c r="C40" s="101"/>
      <c r="D40" s="104"/>
      <c r="E40" s="104"/>
      <c r="F40" s="101"/>
      <c r="G40" s="101"/>
      <c r="H40" s="101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101"/>
      <c r="B41" s="104"/>
      <c r="C41" s="101"/>
      <c r="D41" s="104"/>
      <c r="E41" s="104"/>
      <c r="F41" s="101"/>
      <c r="G41" s="101"/>
      <c r="H41" s="101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117"/>
      <c r="B42" s="117"/>
      <c r="C42" s="117"/>
      <c r="D42" s="117"/>
      <c r="E42" s="117"/>
      <c r="F42" s="117"/>
      <c r="G42" s="117"/>
      <c r="H42" s="117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ht="15.75" customHeight="1">
      <c r="A43" s="117"/>
      <c r="B43" s="117"/>
      <c r="C43" s="117"/>
      <c r="D43" s="117"/>
      <c r="E43" s="117"/>
      <c r="F43" s="117"/>
      <c r="G43" s="117"/>
      <c r="H43" s="117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ht="15.75" customHeight="1">
      <c r="A44" s="117"/>
      <c r="B44" s="117"/>
      <c r="C44" s="117"/>
      <c r="D44" s="117"/>
      <c r="E44" s="117"/>
      <c r="F44" s="117"/>
      <c r="G44" s="117"/>
      <c r="H44" s="117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t="15.0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3:E3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33:H33"/>
    <mergeCell ref="F34:H34"/>
    <mergeCell ref="F35:H35"/>
    <mergeCell ref="F36:H36"/>
    <mergeCell ref="F26:H26"/>
    <mergeCell ref="F27:H27"/>
    <mergeCell ref="F28:H28"/>
    <mergeCell ref="F29:H29"/>
    <mergeCell ref="F30:H30"/>
    <mergeCell ref="F31:H31"/>
    <mergeCell ref="F32:H32"/>
  </mergeCells>
  <conditionalFormatting sqref="D7:E35">
    <cfRule type="cellIs" dxfId="0" priority="1" operator="equal">
      <formula>"..."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2.88"/>
    <col customWidth="1" min="2" max="2" width="34.13"/>
    <col customWidth="1" min="3" max="3" width="19.25"/>
    <col customWidth="1" min="4" max="4" width="25.0"/>
    <col customWidth="1" min="5" max="5" width="21.0"/>
    <col customWidth="1" min="6" max="6" width="19.38"/>
    <col customWidth="1" min="7" max="7" width="13.88"/>
    <col customWidth="1" min="8" max="8" width="28.75"/>
    <col customWidth="1" min="9" max="11" width="8.88"/>
    <col customWidth="1" min="12" max="26" width="14.38"/>
  </cols>
  <sheetData>
    <row r="1" ht="6.75" customHeight="1">
      <c r="A1" s="1"/>
      <c r="B1" s="2"/>
      <c r="C1" s="2"/>
      <c r="D1" s="3"/>
      <c r="E1" s="3"/>
      <c r="F1" s="4"/>
      <c r="G1" s="4"/>
      <c r="H1" s="4"/>
      <c r="I1" s="4"/>
      <c r="J1" s="4"/>
      <c r="K1" s="4"/>
    </row>
    <row r="2">
      <c r="A2" s="5"/>
      <c r="B2" s="5"/>
      <c r="C2" s="5"/>
      <c r="D2" s="5"/>
      <c r="E2" s="5"/>
      <c r="F2" s="5"/>
      <c r="G2" s="5"/>
      <c r="H2" s="5"/>
    </row>
    <row r="3" ht="72.0" customHeight="1">
      <c r="A3" s="8" t="s">
        <v>0</v>
      </c>
      <c r="F3" s="4"/>
      <c r="G3" s="9"/>
      <c r="H3" s="10" t="s">
        <v>2</v>
      </c>
      <c r="I3" s="4"/>
      <c r="J3" s="4"/>
      <c r="K3" s="4"/>
    </row>
    <row r="4">
      <c r="A4" s="17" t="s">
        <v>4</v>
      </c>
      <c r="B4" s="20"/>
      <c r="C4" s="22"/>
      <c r="D4" s="24"/>
      <c r="E4" s="24"/>
      <c r="F4" s="27"/>
      <c r="G4" s="5"/>
      <c r="H4" s="5"/>
    </row>
    <row r="5">
      <c r="A5" s="27"/>
      <c r="B5" s="27"/>
      <c r="C5" s="27"/>
      <c r="D5" s="27"/>
      <c r="E5" s="27"/>
      <c r="F5" s="27"/>
      <c r="G5" s="5"/>
      <c r="H5" s="5"/>
    </row>
    <row r="6">
      <c r="A6" s="31" t="s">
        <v>11</v>
      </c>
      <c r="B6" s="31" t="s">
        <v>13</v>
      </c>
      <c r="C6" s="33" t="s">
        <v>15</v>
      </c>
      <c r="D6" s="33" t="s">
        <v>17</v>
      </c>
      <c r="E6" s="33" t="s">
        <v>18</v>
      </c>
      <c r="F6" s="36" t="s">
        <v>19</v>
      </c>
      <c r="G6" s="38"/>
      <c r="H6" s="38"/>
      <c r="I6" s="5"/>
      <c r="J6" s="5"/>
      <c r="K6" s="5"/>
    </row>
    <row r="7">
      <c r="A7" s="40"/>
      <c r="B7" s="42"/>
      <c r="C7" s="44"/>
      <c r="D7" s="46"/>
      <c r="E7" s="40"/>
      <c r="F7" s="40"/>
      <c r="G7" s="47"/>
      <c r="H7" s="47"/>
    </row>
    <row r="8">
      <c r="A8" s="50" t="s">
        <v>24</v>
      </c>
      <c r="B8" s="42"/>
      <c r="C8" s="44"/>
      <c r="D8" s="46"/>
      <c r="E8" s="40"/>
      <c r="F8" s="40"/>
      <c r="G8" s="47"/>
      <c r="H8" s="47"/>
    </row>
    <row r="9">
      <c r="A9" s="54" t="s">
        <v>26</v>
      </c>
      <c r="B9" s="42"/>
      <c r="C9" s="44"/>
      <c r="D9" s="46"/>
      <c r="E9" s="40"/>
      <c r="F9" s="40"/>
      <c r="G9" s="47"/>
      <c r="H9" s="47"/>
    </row>
    <row r="10">
      <c r="A10" s="54" t="s">
        <v>27</v>
      </c>
      <c r="B10" s="42"/>
      <c r="C10" s="44"/>
      <c r="D10" s="46"/>
      <c r="E10" s="40"/>
      <c r="F10" s="40"/>
      <c r="G10" s="47"/>
      <c r="H10" s="47"/>
    </row>
    <row r="11">
      <c r="A11" s="58" t="s">
        <v>29</v>
      </c>
      <c r="B11" s="42"/>
      <c r="C11" s="44"/>
      <c r="D11" s="46"/>
      <c r="E11" s="40"/>
      <c r="F11" s="40"/>
      <c r="G11" s="47"/>
      <c r="H11" s="47"/>
    </row>
    <row r="12">
      <c r="A12" s="40"/>
      <c r="B12" s="42"/>
      <c r="C12" s="44"/>
      <c r="D12" s="46"/>
      <c r="E12" s="40"/>
      <c r="F12" s="40"/>
      <c r="G12" s="47"/>
      <c r="H12" s="47"/>
    </row>
    <row r="13">
      <c r="A13" s="50" t="s">
        <v>32</v>
      </c>
      <c r="B13" s="42"/>
      <c r="C13" s="44"/>
      <c r="D13" s="46"/>
      <c r="E13" s="40"/>
      <c r="F13" s="40"/>
      <c r="G13" s="47"/>
      <c r="H13" s="47"/>
    </row>
    <row r="14">
      <c r="A14" s="54" t="s">
        <v>34</v>
      </c>
      <c r="B14" s="42"/>
      <c r="C14" s="44"/>
      <c r="D14" s="46"/>
      <c r="E14" s="40"/>
      <c r="F14" s="40"/>
      <c r="G14" s="47"/>
      <c r="H14" s="47"/>
    </row>
    <row r="15">
      <c r="A15" s="54" t="s">
        <v>35</v>
      </c>
      <c r="B15" s="42"/>
      <c r="C15" s="44"/>
      <c r="D15" s="46"/>
      <c r="E15" s="40"/>
      <c r="F15" s="40"/>
      <c r="G15" s="47"/>
      <c r="H15" s="47"/>
    </row>
    <row r="16">
      <c r="A16" s="58" t="s">
        <v>36</v>
      </c>
      <c r="B16" s="42"/>
      <c r="C16" s="44"/>
      <c r="D16" s="46"/>
      <c r="E16" s="40"/>
      <c r="F16" s="40"/>
      <c r="G16" s="47"/>
      <c r="H16" s="47"/>
    </row>
    <row r="17">
      <c r="A17" s="40"/>
      <c r="B17" s="42"/>
      <c r="C17" s="44"/>
      <c r="D17" s="46"/>
      <c r="E17" s="40"/>
      <c r="F17" s="40"/>
      <c r="G17" s="47"/>
      <c r="H17" s="47"/>
    </row>
    <row r="18">
      <c r="A18" s="50" t="s">
        <v>39</v>
      </c>
      <c r="B18" s="42"/>
      <c r="C18" s="44"/>
      <c r="D18" s="46"/>
      <c r="E18" s="40"/>
      <c r="F18" s="40"/>
      <c r="G18" s="47"/>
      <c r="H18" s="47"/>
    </row>
    <row r="19">
      <c r="A19" s="54" t="s">
        <v>40</v>
      </c>
      <c r="B19" s="42"/>
      <c r="C19" s="44"/>
      <c r="D19" s="46"/>
      <c r="E19" s="40"/>
      <c r="F19" s="40"/>
      <c r="G19" s="47"/>
      <c r="H19" s="47"/>
    </row>
    <row r="20">
      <c r="A20" s="54" t="s">
        <v>42</v>
      </c>
      <c r="B20" s="42"/>
      <c r="C20" s="44"/>
      <c r="D20" s="46"/>
      <c r="E20" s="40"/>
      <c r="F20" s="40"/>
      <c r="G20" s="47"/>
      <c r="H20" s="47"/>
    </row>
    <row r="21" ht="15.75" customHeight="1">
      <c r="A21" s="58" t="s">
        <v>43</v>
      </c>
      <c r="B21" s="42"/>
      <c r="C21" s="44"/>
      <c r="D21" s="46"/>
      <c r="E21" s="40"/>
      <c r="F21" s="40"/>
      <c r="G21" s="47"/>
      <c r="H21" s="47"/>
    </row>
    <row r="22" ht="15.75" customHeight="1">
      <c r="A22" s="40"/>
      <c r="B22" s="42"/>
      <c r="C22" s="44"/>
      <c r="D22" s="46"/>
      <c r="E22" s="40"/>
      <c r="F22" s="40"/>
      <c r="G22" s="47"/>
      <c r="H22" s="47"/>
    </row>
    <row r="23" ht="15.75" customHeight="1">
      <c r="A23" s="77" t="s">
        <v>46</v>
      </c>
      <c r="B23" s="79"/>
      <c r="C23" s="79"/>
      <c r="D23" s="79"/>
      <c r="E23" s="79"/>
      <c r="F23" s="40"/>
      <c r="G23" s="47"/>
      <c r="H23" s="47"/>
    </row>
    <row r="24" ht="15.75" customHeight="1">
      <c r="A24" s="83" t="s">
        <v>47</v>
      </c>
      <c r="B24" s="79"/>
      <c r="C24" s="79"/>
      <c r="D24" s="79"/>
      <c r="E24" s="79"/>
      <c r="F24" s="40"/>
      <c r="G24" s="47"/>
      <c r="H24" s="47"/>
    </row>
    <row r="25" ht="15.75" customHeight="1">
      <c r="A25" s="83" t="s">
        <v>49</v>
      </c>
      <c r="B25" s="79"/>
      <c r="C25" s="79"/>
      <c r="D25" s="79"/>
      <c r="E25" s="79"/>
      <c r="F25" s="40"/>
      <c r="G25" s="47"/>
      <c r="H25" s="47"/>
    </row>
    <row r="26" ht="15.75" customHeight="1">
      <c r="A26" s="83" t="s">
        <v>51</v>
      </c>
      <c r="F26" s="40"/>
      <c r="G26" s="47"/>
      <c r="H26" s="47"/>
    </row>
    <row r="27" ht="15.75" customHeight="1">
      <c r="A27" s="90" t="s">
        <v>52</v>
      </c>
      <c r="D27" s="45"/>
      <c r="E27" s="45"/>
      <c r="F27" s="40"/>
      <c r="G27" s="47"/>
      <c r="H27" s="47"/>
    </row>
    <row r="28" ht="15.75" customHeight="1">
      <c r="A28" s="95" t="s">
        <v>54</v>
      </c>
      <c r="B28" s="28"/>
      <c r="C28" s="28"/>
      <c r="D28" s="45"/>
      <c r="E28" s="45"/>
      <c r="F28" s="40"/>
      <c r="G28" s="47"/>
      <c r="H28" s="47"/>
    </row>
    <row r="29" ht="15.75" customHeight="1">
      <c r="A29" s="98" t="s">
        <v>57</v>
      </c>
      <c r="B29" s="100"/>
      <c r="C29" s="100"/>
      <c r="D29" s="102"/>
      <c r="E29" s="102"/>
      <c r="F29" s="40"/>
      <c r="G29" s="47"/>
      <c r="H29" s="47"/>
    </row>
    <row r="30" ht="15.75" customHeight="1">
      <c r="A30" s="108" t="s">
        <v>61</v>
      </c>
      <c r="B30" s="110"/>
      <c r="C30" s="110"/>
      <c r="D30" s="112"/>
      <c r="E30" s="112"/>
      <c r="F30" s="40"/>
      <c r="G30" s="47"/>
      <c r="H30" s="47"/>
    </row>
    <row r="31" ht="15.75" customHeight="1">
      <c r="A31" s="40"/>
      <c r="B31" s="42"/>
      <c r="C31" s="44"/>
      <c r="D31" s="46"/>
      <c r="E31" s="40"/>
      <c r="F31" s="40"/>
      <c r="G31" s="47"/>
      <c r="H31" s="47"/>
    </row>
    <row r="32" ht="15.75" customHeight="1">
      <c r="A32" s="50" t="s">
        <v>65</v>
      </c>
      <c r="B32" s="88"/>
      <c r="C32" s="88"/>
      <c r="D32" s="46"/>
      <c r="E32" s="40"/>
      <c r="F32" s="40"/>
      <c r="G32" s="47"/>
      <c r="H32" s="47"/>
    </row>
    <row r="33" ht="15.75" customHeight="1">
      <c r="A33" s="54" t="s">
        <v>66</v>
      </c>
      <c r="B33" s="94"/>
      <c r="C33" s="94"/>
      <c r="D33" s="93"/>
      <c r="E33" s="93"/>
      <c r="F33" s="40"/>
      <c r="G33" s="47"/>
      <c r="H33" s="47"/>
    </row>
    <row r="34" ht="15.75" customHeight="1">
      <c r="A34" s="54" t="s">
        <v>67</v>
      </c>
      <c r="B34" s="94"/>
      <c r="C34" s="94"/>
      <c r="D34" s="93"/>
      <c r="E34" s="93"/>
      <c r="F34" s="40"/>
      <c r="G34" s="47"/>
      <c r="H34" s="47"/>
    </row>
    <row r="35" ht="15.75" customHeight="1">
      <c r="A35" s="54" t="s">
        <v>68</v>
      </c>
      <c r="B35" s="94"/>
      <c r="C35" s="94"/>
      <c r="D35" s="93"/>
      <c r="E35" s="93"/>
      <c r="F35" s="40"/>
      <c r="G35" s="47"/>
      <c r="H35" s="47"/>
    </row>
    <row r="36" ht="15.75" customHeight="1">
      <c r="A36" s="122" t="s">
        <v>69</v>
      </c>
      <c r="D36" s="93"/>
      <c r="E36" s="93"/>
      <c r="F36" s="40" t="s">
        <v>55</v>
      </c>
      <c r="G36" s="47"/>
      <c r="H36" s="47"/>
    </row>
    <row r="37" ht="15.75" customHeight="1">
      <c r="A37" s="122" t="s">
        <v>70</v>
      </c>
      <c r="B37" s="123"/>
      <c r="C37" s="123"/>
      <c r="D37" s="93"/>
      <c r="E37" s="93"/>
      <c r="F37" s="5"/>
      <c r="G37" s="5"/>
      <c r="H37" s="5"/>
    </row>
    <row r="38" ht="15.75" customHeight="1">
      <c r="A38" s="122" t="s">
        <v>71</v>
      </c>
      <c r="B38" s="123"/>
      <c r="C38" s="123"/>
      <c r="D38" s="93"/>
      <c r="E38" s="93"/>
      <c r="F38" s="5"/>
      <c r="G38" s="5"/>
      <c r="H38" s="5"/>
    </row>
    <row r="39" ht="15.75" customHeight="1">
      <c r="A39" s="122" t="s">
        <v>72</v>
      </c>
      <c r="B39" s="123"/>
      <c r="C39" s="123"/>
      <c r="D39" s="106"/>
      <c r="E39" s="106"/>
      <c r="F39" s="101"/>
      <c r="G39" s="101"/>
      <c r="H39" s="101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5.75" customHeight="1">
      <c r="A40" s="101"/>
      <c r="B40" s="104"/>
      <c r="C40" s="101"/>
      <c r="D40" s="104"/>
      <c r="E40" s="104"/>
      <c r="F40" s="101"/>
      <c r="G40" s="101"/>
      <c r="H40" s="101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5.75" customHeight="1">
      <c r="A41" s="101"/>
      <c r="B41" s="104"/>
      <c r="C41" s="101"/>
      <c r="D41" s="104"/>
      <c r="E41" s="104"/>
      <c r="F41" s="101"/>
      <c r="G41" s="101"/>
      <c r="H41" s="101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5.75" customHeight="1">
      <c r="A42" s="126" t="s">
        <v>73</v>
      </c>
      <c r="B42" s="117"/>
      <c r="C42" s="117"/>
      <c r="D42" s="117"/>
      <c r="E42" s="117"/>
      <c r="F42" s="117"/>
      <c r="G42" s="117"/>
      <c r="H42" s="117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ht="15.75" customHeight="1">
      <c r="A43" s="117"/>
      <c r="B43" s="117"/>
      <c r="C43" s="117"/>
      <c r="D43" s="117"/>
      <c r="E43" s="117"/>
      <c r="F43" s="117"/>
      <c r="G43" s="117"/>
      <c r="H43" s="117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ht="15.75" customHeight="1">
      <c r="A44" s="117"/>
      <c r="B44" s="117"/>
      <c r="C44" s="117"/>
      <c r="D44" s="117"/>
      <c r="E44" s="117"/>
      <c r="F44" s="117"/>
      <c r="G44" s="117"/>
      <c r="H44" s="117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ht="15.0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E3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31:H31"/>
    <mergeCell ref="F32:H32"/>
    <mergeCell ref="F33:H33"/>
    <mergeCell ref="F34:H34"/>
    <mergeCell ref="F35:H35"/>
    <mergeCell ref="A36:C36"/>
    <mergeCell ref="F36:H36"/>
    <mergeCell ref="A26:E26"/>
    <mergeCell ref="F26:H26"/>
    <mergeCell ref="A27:C27"/>
    <mergeCell ref="F27:H27"/>
    <mergeCell ref="F28:H28"/>
    <mergeCell ref="F29:H29"/>
    <mergeCell ref="F30:H30"/>
  </mergeCells>
  <conditionalFormatting sqref="D7:E22 D31:E35">
    <cfRule type="cellIs" dxfId="0" priority="1" operator="equal">
      <formula>"..."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46.25"/>
    <col customWidth="1" min="2" max="2" width="17.13"/>
    <col customWidth="1" min="3" max="3" width="35.25"/>
    <col customWidth="1" min="4" max="4" width="16.25"/>
    <col customWidth="1" min="5" max="5" width="26.25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3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15" t="s">
        <v>5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>
      <c r="A5" s="18" t="s">
        <v>6</v>
      </c>
      <c r="D5" s="21"/>
      <c r="E5" s="21"/>
      <c r="F5" s="25"/>
      <c r="G5" s="25"/>
      <c r="H5" s="25"/>
      <c r="I5" s="25"/>
      <c r="J5" s="25"/>
      <c r="K5" s="25"/>
    </row>
    <row r="6">
      <c r="A6" s="18" t="s">
        <v>8</v>
      </c>
      <c r="B6" s="28"/>
      <c r="C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10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32" t="s">
        <v>12</v>
      </c>
      <c r="B8" s="34" t="s">
        <v>16</v>
      </c>
      <c r="C8" s="34" t="s">
        <v>20</v>
      </c>
      <c r="D8" s="41" t="s">
        <v>22</v>
      </c>
      <c r="E8" s="38"/>
      <c r="F8" s="45"/>
      <c r="G8" s="45"/>
      <c r="H8" s="45"/>
      <c r="I8" s="45"/>
      <c r="J8" s="45"/>
      <c r="K8" s="45"/>
    </row>
    <row r="9">
      <c r="A9" s="48" t="s">
        <v>23</v>
      </c>
      <c r="B9" s="51">
        <v>50.0</v>
      </c>
      <c r="C9" s="53" t="s">
        <v>25</v>
      </c>
      <c r="D9" s="55"/>
      <c r="E9" s="47"/>
      <c r="F9" s="45"/>
      <c r="G9" s="45"/>
      <c r="H9" s="45"/>
      <c r="I9" s="45"/>
      <c r="J9" s="45"/>
      <c r="K9" s="45"/>
    </row>
    <row r="10">
      <c r="A10" s="48" t="s">
        <v>28</v>
      </c>
      <c r="B10" s="51">
        <v>20.0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48" t="s">
        <v>31</v>
      </c>
      <c r="B11" s="51">
        <v>30.0</v>
      </c>
      <c r="C11" s="53" t="s">
        <v>25</v>
      </c>
      <c r="D11" s="55"/>
      <c r="E11" s="47"/>
      <c r="F11" s="45"/>
      <c r="G11" s="45"/>
      <c r="H11" s="45"/>
      <c r="I11" s="45"/>
      <c r="J11" s="45"/>
      <c r="K11" s="45"/>
    </row>
    <row r="12">
      <c r="A12" s="48" t="s">
        <v>33</v>
      </c>
      <c r="B12" s="51">
        <v>120.0</v>
      </c>
      <c r="C12" s="53" t="s">
        <v>25</v>
      </c>
      <c r="D12" s="55"/>
      <c r="E12" s="61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47"/>
      <c r="F13" s="45"/>
      <c r="G13" s="45"/>
      <c r="H13" s="45"/>
      <c r="I13" s="45"/>
      <c r="J13" s="45"/>
      <c r="K13" s="45"/>
    </row>
    <row r="14">
      <c r="A14" s="66" t="s">
        <v>38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72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72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79"/>
      <c r="B17" s="79"/>
      <c r="C17" s="79"/>
      <c r="D17" s="79"/>
      <c r="E17" s="79"/>
      <c r="F17" s="45"/>
      <c r="G17" s="45"/>
      <c r="H17" s="45"/>
      <c r="I17" s="45"/>
      <c r="J17" s="45"/>
      <c r="K17" s="45"/>
    </row>
    <row r="18">
      <c r="A18" s="79"/>
      <c r="B18" s="79"/>
      <c r="C18" s="79"/>
      <c r="D18" s="79"/>
      <c r="E18" s="79"/>
      <c r="F18" s="45"/>
      <c r="G18" s="45"/>
      <c r="H18" s="45"/>
      <c r="I18" s="45"/>
      <c r="J18" s="45"/>
      <c r="K18" s="45"/>
    </row>
    <row r="19">
      <c r="A19" s="85"/>
      <c r="B19" s="85"/>
      <c r="C19" s="85"/>
      <c r="D19" s="85"/>
      <c r="E19" s="85"/>
      <c r="F19" s="45"/>
      <c r="G19" s="45"/>
      <c r="H19" s="45"/>
      <c r="I19" s="45"/>
      <c r="J19" s="45"/>
      <c r="K19" s="45"/>
    </row>
    <row r="20" ht="15.75" customHeight="1">
      <c r="A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63"/>
      <c r="B22" s="97">
        <v>1.0</v>
      </c>
      <c r="C22" s="99" t="s">
        <v>58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63"/>
      <c r="B23" s="97">
        <v>0.025</v>
      </c>
      <c r="C23" s="99" t="s">
        <v>60</v>
      </c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>
        <v>1.0</v>
      </c>
      <c r="C24" s="113" t="s">
        <v>63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79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79"/>
      <c r="B27" s="118"/>
      <c r="C27" s="120"/>
      <c r="D27" s="121"/>
      <c r="E27" s="121"/>
      <c r="F27" s="45"/>
      <c r="G27" s="45"/>
      <c r="H27" s="45"/>
      <c r="I27" s="45"/>
      <c r="J27" s="45"/>
      <c r="K27" s="45"/>
    </row>
    <row r="28" ht="15.75" customHeight="1">
      <c r="A28" s="79"/>
      <c r="B28" s="118"/>
      <c r="C28" s="120"/>
      <c r="D28" s="121"/>
      <c r="E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63"/>
      <c r="B32" s="97"/>
      <c r="C32" s="99" t="s">
        <v>58</v>
      </c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63"/>
      <c r="B33" s="97"/>
      <c r="C33" s="99" t="s">
        <v>58</v>
      </c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3"/>
      <c r="B34" s="124"/>
      <c r="C34" s="99" t="s">
        <v>63</v>
      </c>
      <c r="D34" s="97"/>
      <c r="E34" s="97"/>
      <c r="F34" s="45"/>
      <c r="G34" s="45"/>
      <c r="H34" s="45"/>
      <c r="I34" s="45"/>
      <c r="J34" s="45"/>
      <c r="K34" s="45"/>
    </row>
    <row r="35" ht="15.75" customHeight="1">
      <c r="A35" s="63"/>
      <c r="B35" s="125"/>
      <c r="C35" s="127" t="s">
        <v>58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66" t="s">
        <v>62</v>
      </c>
      <c r="B36" s="111">
        <v>1.45</v>
      </c>
      <c r="C36" s="113" t="s">
        <v>63</v>
      </c>
      <c r="D36" s="71"/>
      <c r="E36" s="71"/>
      <c r="F36" s="45"/>
      <c r="G36" s="45"/>
      <c r="H36" s="45"/>
      <c r="I36" s="45"/>
      <c r="J36" s="45"/>
      <c r="K36" s="45"/>
    </row>
    <row r="37" ht="15.75" customHeight="1">
      <c r="A37" s="66" t="s">
        <v>64</v>
      </c>
      <c r="B37" s="114"/>
      <c r="C37" s="115"/>
      <c r="D37" s="116"/>
      <c r="E37" s="116"/>
      <c r="F37" s="45"/>
      <c r="G37" s="45"/>
      <c r="H37" s="45"/>
      <c r="I37" s="45"/>
      <c r="J37" s="45"/>
      <c r="K37" s="45"/>
    </row>
    <row r="38" ht="15.75" customHeight="1">
      <c r="A38" s="72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5.75" customHeight="1">
      <c r="A39" s="85"/>
      <c r="B39" s="85"/>
      <c r="C39" s="85"/>
      <c r="D39" s="85"/>
      <c r="E39" s="85"/>
      <c r="F39" s="45"/>
      <c r="G39" s="45"/>
      <c r="H39" s="45"/>
      <c r="I39" s="45"/>
      <c r="J39" s="45"/>
      <c r="K39" s="45"/>
    </row>
    <row r="40" ht="18.0" customHeight="1">
      <c r="A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63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0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0"/>
      <c r="B47" s="140"/>
      <c r="C47" s="140"/>
      <c r="D47" s="142"/>
      <c r="E47" s="141"/>
      <c r="F47" s="139"/>
      <c r="G47" s="139"/>
      <c r="H47" s="139"/>
      <c r="I47" s="139"/>
      <c r="J47" s="139"/>
      <c r="K47" s="139"/>
    </row>
    <row r="48" ht="15.75" customHeight="1">
      <c r="A48" s="140"/>
      <c r="B48" s="140"/>
      <c r="C48" s="140"/>
      <c r="D48" s="142"/>
      <c r="E48" s="141"/>
      <c r="F48" s="139"/>
      <c r="G48" s="139"/>
      <c r="H48" s="139"/>
      <c r="I48" s="139"/>
      <c r="J48" s="139"/>
      <c r="K48" s="139"/>
    </row>
    <row r="49" ht="15.75" customHeight="1">
      <c r="A49" s="140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143"/>
      <c r="B50" s="143"/>
      <c r="C50" s="143"/>
      <c r="D50" s="143"/>
      <c r="E50" s="143"/>
      <c r="F50" s="139"/>
      <c r="G50" s="139"/>
      <c r="H50" s="139"/>
      <c r="I50" s="139"/>
      <c r="J50" s="139"/>
      <c r="K50" s="139"/>
    </row>
    <row r="51" ht="15.75" customHeight="1">
      <c r="A51" s="143"/>
      <c r="B51" s="141"/>
      <c r="C51" s="141"/>
      <c r="D51" s="141"/>
      <c r="E51" s="141"/>
    </row>
    <row r="52" ht="18.0" customHeight="1">
      <c r="A52" s="129"/>
      <c r="D52" s="130"/>
      <c r="E52" s="130"/>
    </row>
    <row r="53" ht="18.0" customHeight="1">
      <c r="A53" s="131" t="s">
        <v>12</v>
      </c>
      <c r="B53" s="31" t="s">
        <v>16</v>
      </c>
      <c r="C53" s="31" t="s">
        <v>20</v>
      </c>
      <c r="D53" s="41"/>
      <c r="E53" s="38"/>
    </row>
    <row r="54" ht="18.0" customHeight="1">
      <c r="A54" s="63"/>
      <c r="B54" s="64"/>
      <c r="C54" s="53"/>
      <c r="D54" s="55"/>
      <c r="E54" s="47"/>
    </row>
    <row r="55" ht="18.0" customHeight="1">
      <c r="A55" s="63"/>
      <c r="B55" s="64"/>
      <c r="C55" s="53"/>
      <c r="D55" s="144"/>
      <c r="E55" s="141"/>
    </row>
    <row r="56" ht="18.0" customHeight="1">
      <c r="A56" s="63"/>
      <c r="B56" s="64"/>
      <c r="C56" s="53"/>
      <c r="D56" s="55"/>
      <c r="E56" s="55"/>
    </row>
    <row r="57" ht="18.0" customHeight="1">
      <c r="A57" s="63"/>
      <c r="B57" s="64"/>
      <c r="C57" s="53"/>
      <c r="D57" s="55"/>
      <c r="E57" s="47"/>
    </row>
    <row r="58" ht="18.0" customHeight="1">
      <c r="A58" s="63"/>
      <c r="B58" s="64"/>
      <c r="C58" s="53"/>
      <c r="D58" s="55"/>
      <c r="E58" s="47"/>
    </row>
    <row r="59" ht="18.0" customHeight="1">
      <c r="A59" s="132" t="s">
        <v>62</v>
      </c>
      <c r="B59" s="133">
        <v>5.0E-4</v>
      </c>
      <c r="C59" s="134" t="s">
        <v>74</v>
      </c>
      <c r="D59" s="135"/>
      <c r="E59" s="136"/>
    </row>
    <row r="60" ht="18.0" customHeight="1">
      <c r="A60" s="145" t="s">
        <v>75</v>
      </c>
      <c r="B60" s="38"/>
      <c r="C60" s="38"/>
      <c r="D60" s="38"/>
      <c r="E60" s="38"/>
    </row>
    <row r="61" ht="18.0" customHeight="1">
      <c r="A61" s="146"/>
      <c r="B61" s="147"/>
      <c r="C61" s="147"/>
      <c r="D61" s="147"/>
      <c r="E61" s="147"/>
    </row>
    <row r="62" ht="18.0" customHeight="1">
      <c r="A62" s="148"/>
      <c r="B62" s="149"/>
      <c r="C62" s="148"/>
      <c r="D62" s="148"/>
      <c r="E62" s="148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3" t="s">
        <v>76</v>
      </c>
      <c r="E66" s="152"/>
    </row>
    <row r="67" ht="15.75" customHeight="1">
      <c r="A67" s="146"/>
      <c r="B67" s="149"/>
      <c r="C67" s="150"/>
      <c r="D67" s="151"/>
      <c r="E67" s="152"/>
    </row>
    <row r="68" ht="15.75" customHeight="1">
      <c r="A68" s="146"/>
      <c r="B68" s="149"/>
      <c r="C68" s="150"/>
      <c r="D68" s="151"/>
      <c r="E68" s="152"/>
    </row>
    <row r="69" ht="15.75" customHeight="1">
      <c r="A69" s="154"/>
      <c r="B69" s="155"/>
      <c r="C69" s="156"/>
      <c r="D69" s="157"/>
      <c r="E69" s="158"/>
    </row>
    <row r="70" ht="15.75" customHeight="1">
      <c r="A70" s="146"/>
      <c r="B70" s="159"/>
      <c r="C70" s="160"/>
      <c r="D70" s="149"/>
      <c r="E70" s="161"/>
    </row>
    <row r="71" ht="15.75" customHeight="1">
      <c r="A71" s="162"/>
      <c r="B71" s="163"/>
      <c r="C71" s="163"/>
      <c r="D71" s="163"/>
      <c r="E71" s="152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4"/>
      <c r="B76" s="5"/>
      <c r="C76" s="130"/>
      <c r="D76" s="130"/>
      <c r="E76" s="165"/>
    </row>
    <row r="77" ht="15.75" customHeight="1">
      <c r="A77" s="164"/>
      <c r="B77" s="5"/>
      <c r="C77" s="130"/>
      <c r="D77" s="130"/>
      <c r="E77" s="165"/>
    </row>
    <row r="78" ht="15.75" customHeight="1">
      <c r="A78" s="164"/>
      <c r="B78" s="5"/>
      <c r="C78" s="130"/>
      <c r="D78" s="130"/>
      <c r="E78" s="165"/>
    </row>
    <row r="79" ht="15.75" customHeight="1">
      <c r="A79" s="166"/>
      <c r="B79" s="167"/>
      <c r="C79" s="168"/>
      <c r="D79" s="168"/>
      <c r="E79" s="169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2">
    <mergeCell ref="A3:D3"/>
    <mergeCell ref="A5:C5"/>
    <mergeCell ref="D8:E8"/>
    <mergeCell ref="D9:E9"/>
    <mergeCell ref="D10:E10"/>
    <mergeCell ref="D11:E11"/>
    <mergeCell ref="D13:E13"/>
    <mergeCell ref="A15:E15"/>
    <mergeCell ref="A16:E16"/>
    <mergeCell ref="A20:C20"/>
    <mergeCell ref="D21:E21"/>
    <mergeCell ref="D22:E22"/>
    <mergeCell ref="D23:E23"/>
    <mergeCell ref="A30:C30"/>
    <mergeCell ref="D31:E31"/>
    <mergeCell ref="D32:E32"/>
    <mergeCell ref="D33:E33"/>
    <mergeCell ref="A40:C40"/>
    <mergeCell ref="D41:E41"/>
    <mergeCell ref="D42:E42"/>
    <mergeCell ref="D43:E43"/>
    <mergeCell ref="A45:E45"/>
    <mergeCell ref="A46:E46"/>
    <mergeCell ref="D47:E47"/>
    <mergeCell ref="D48:E48"/>
    <mergeCell ref="A49:E49"/>
    <mergeCell ref="A51:E51"/>
    <mergeCell ref="A52:C52"/>
    <mergeCell ref="D64:E64"/>
    <mergeCell ref="D65:E65"/>
    <mergeCell ref="D66:E66"/>
    <mergeCell ref="D67:E67"/>
    <mergeCell ref="D68:E68"/>
    <mergeCell ref="D69:E69"/>
    <mergeCell ref="A71:E71"/>
    <mergeCell ref="D53:E53"/>
    <mergeCell ref="D54:E54"/>
    <mergeCell ref="D55:E55"/>
    <mergeCell ref="D57:E57"/>
    <mergeCell ref="D58:E58"/>
    <mergeCell ref="A60:E60"/>
    <mergeCell ref="D63:E63"/>
  </mergeCells>
  <printOptions/>
  <pageMargins bottom="0.787401575" footer="0.0" header="0.0" left="0.511811024" right="0.511811024" top="0.787401575"/>
  <pageSetup paperSize="9" scale="5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22.0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 t="s">
        <v>1</v>
      </c>
      <c r="B3" s="12"/>
      <c r="C3" s="12"/>
      <c r="D3" s="14"/>
      <c r="E3" s="16"/>
      <c r="F3" s="4"/>
      <c r="G3" s="4"/>
      <c r="H3" s="4"/>
      <c r="I3" s="4"/>
      <c r="J3" s="4"/>
      <c r="K3" s="4"/>
    </row>
    <row r="4" ht="14.25" customHeight="1">
      <c r="A4" s="19" t="s">
        <v>7</v>
      </c>
      <c r="B4" s="8"/>
      <c r="C4" s="8"/>
      <c r="D4" s="23"/>
      <c r="E4" s="26"/>
      <c r="F4" s="4"/>
      <c r="G4" s="4"/>
      <c r="H4" s="4"/>
      <c r="I4" s="4"/>
      <c r="J4" s="4"/>
      <c r="K4" s="4"/>
    </row>
    <row r="5">
      <c r="A5" s="29" t="s">
        <v>9</v>
      </c>
      <c r="D5" s="30"/>
      <c r="E5" s="30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30"/>
      <c r="E6" s="30"/>
      <c r="F6" s="25"/>
      <c r="G6" s="25"/>
      <c r="H6" s="25"/>
      <c r="I6" s="25"/>
      <c r="J6" s="25"/>
      <c r="K6" s="25"/>
    </row>
    <row r="7">
      <c r="A7" s="35" t="s">
        <v>21</v>
      </c>
      <c r="B7" s="37"/>
      <c r="C7" s="37"/>
      <c r="D7" s="39"/>
      <c r="E7" s="30"/>
      <c r="F7" s="25"/>
      <c r="G7" s="25"/>
      <c r="H7" s="25"/>
      <c r="I7" s="25"/>
      <c r="J7" s="25"/>
      <c r="K7" s="25"/>
    </row>
    <row r="8">
      <c r="A8" s="43"/>
      <c r="B8" s="28"/>
      <c r="C8" s="28"/>
      <c r="D8" s="21"/>
      <c r="E8" s="30"/>
      <c r="F8" s="25"/>
      <c r="G8" s="25"/>
      <c r="H8" s="25"/>
      <c r="I8" s="25"/>
      <c r="J8" s="25"/>
      <c r="K8" s="25"/>
    </row>
    <row r="9">
      <c r="A9" s="49" t="s">
        <v>12</v>
      </c>
      <c r="B9" s="52" t="s">
        <v>16</v>
      </c>
      <c r="C9" s="52" t="s">
        <v>20</v>
      </c>
      <c r="D9" s="56" t="s">
        <v>22</v>
      </c>
      <c r="E9" s="57"/>
      <c r="F9" s="45"/>
      <c r="G9" s="45"/>
      <c r="H9" s="45"/>
      <c r="I9" s="45"/>
      <c r="J9" s="45"/>
      <c r="K9" s="45"/>
    </row>
    <row r="10">
      <c r="A10" s="50" t="s">
        <v>30</v>
      </c>
      <c r="B10" s="59">
        <v>60.0</v>
      </c>
      <c r="C10" s="60" t="s">
        <v>25</v>
      </c>
      <c r="D10" s="62"/>
      <c r="E10" s="14"/>
      <c r="F10" s="45"/>
      <c r="G10" s="45"/>
      <c r="H10" s="45"/>
      <c r="I10" s="45"/>
      <c r="J10" s="45"/>
      <c r="K10" s="45"/>
    </row>
    <row r="11">
      <c r="A11" s="54" t="s">
        <v>37</v>
      </c>
      <c r="B11" s="65">
        <v>30.0</v>
      </c>
      <c r="C11" s="67" t="s">
        <v>25</v>
      </c>
      <c r="D11" s="69"/>
      <c r="E11" s="70"/>
      <c r="F11" s="45"/>
      <c r="G11" s="45"/>
      <c r="H11" s="45"/>
      <c r="I11" s="45"/>
      <c r="J11" s="45"/>
      <c r="K11" s="45"/>
    </row>
    <row r="12">
      <c r="A12" s="54" t="s">
        <v>41</v>
      </c>
      <c r="B12" s="65">
        <v>10.0</v>
      </c>
      <c r="C12" s="67" t="s">
        <v>25</v>
      </c>
      <c r="D12" s="69"/>
      <c r="E12" s="70"/>
      <c r="F12" s="45"/>
      <c r="G12" s="45"/>
      <c r="H12" s="45"/>
      <c r="I12" s="45"/>
      <c r="J12" s="45"/>
      <c r="K12" s="45"/>
    </row>
    <row r="13">
      <c r="A13" s="54" t="s">
        <v>44</v>
      </c>
      <c r="B13" s="65">
        <v>3.0</v>
      </c>
      <c r="C13" s="74" t="s">
        <v>45</v>
      </c>
      <c r="D13" s="69"/>
      <c r="E13" s="75"/>
      <c r="F13" s="45"/>
      <c r="G13" s="45"/>
      <c r="H13" s="45"/>
      <c r="I13" s="45"/>
      <c r="J13" s="45"/>
      <c r="K13" s="45"/>
    </row>
    <row r="14">
      <c r="A14" s="76"/>
      <c r="B14" s="78"/>
      <c r="C14" s="80"/>
      <c r="D14" s="81"/>
      <c r="E14" s="82"/>
      <c r="F14" s="45"/>
      <c r="G14" s="45"/>
      <c r="H14" s="45"/>
      <c r="I14" s="45"/>
      <c r="J14" s="45"/>
      <c r="K14" s="45"/>
    </row>
    <row r="15">
      <c r="A15" s="84" t="s">
        <v>48</v>
      </c>
      <c r="B15" s="86"/>
      <c r="C15" s="86"/>
      <c r="D15" s="87"/>
      <c r="E15" s="87"/>
      <c r="F15" s="45"/>
      <c r="G15" s="45"/>
      <c r="H15" s="45"/>
      <c r="I15" s="45"/>
      <c r="J15" s="45"/>
      <c r="K15" s="45"/>
    </row>
    <row r="16">
      <c r="A16" s="50" t="s">
        <v>50</v>
      </c>
      <c r="B16" s="88"/>
      <c r="C16" s="88"/>
      <c r="D16" s="88"/>
      <c r="E16" s="89"/>
      <c r="F16" s="45"/>
      <c r="G16" s="45"/>
      <c r="H16" s="45"/>
      <c r="I16" s="45"/>
      <c r="J16" s="45"/>
      <c r="K16" s="45"/>
    </row>
    <row r="17">
      <c r="A17" s="54" t="s">
        <v>53</v>
      </c>
      <c r="B17" s="94"/>
      <c r="C17" s="94"/>
      <c r="D17" s="94"/>
      <c r="E17" s="96"/>
      <c r="F17" s="45"/>
      <c r="G17" s="45"/>
      <c r="H17" s="45"/>
      <c r="I17" s="45"/>
      <c r="J17" s="45"/>
      <c r="K17" s="45"/>
    </row>
    <row r="18">
      <c r="A18" s="54" t="s">
        <v>56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 ht="15.75" customHeight="1">
      <c r="A19" s="58" t="s">
        <v>59</v>
      </c>
      <c r="B19" s="103"/>
      <c r="C19" s="103"/>
      <c r="D19" s="103"/>
      <c r="E19" s="107"/>
      <c r="F19" s="45"/>
      <c r="G19" s="45"/>
      <c r="H19" s="45"/>
      <c r="I19" s="45"/>
      <c r="J19" s="45"/>
      <c r="K19" s="45"/>
    </row>
    <row r="20" ht="15.75" customHeight="1">
      <c r="A20" s="94"/>
      <c r="B20" s="94"/>
      <c r="C20" s="94"/>
      <c r="D20" s="94"/>
      <c r="E20" s="94"/>
      <c r="F20" s="45"/>
      <c r="G20" s="45"/>
      <c r="H20" s="45"/>
      <c r="I20" s="45"/>
      <c r="J20" s="45"/>
      <c r="K20" s="45"/>
    </row>
    <row r="21" ht="15.75" customHeight="1">
      <c r="A21" s="94"/>
      <c r="B21" s="94"/>
      <c r="C21" s="94"/>
      <c r="D21" s="94"/>
      <c r="E21" s="94"/>
      <c r="F21" s="45"/>
      <c r="G21" s="45"/>
      <c r="H21" s="45"/>
      <c r="I21" s="45"/>
      <c r="J21" s="45"/>
      <c r="K21" s="45"/>
    </row>
    <row r="22" ht="15.0" customHeight="1">
      <c r="A22" s="94"/>
      <c r="B22" s="94"/>
      <c r="C22" s="94"/>
      <c r="D22" s="94"/>
      <c r="E22" s="94"/>
      <c r="F22" s="45"/>
      <c r="G22" s="45"/>
      <c r="H22" s="45"/>
      <c r="I22" s="45"/>
      <c r="J22" s="45"/>
      <c r="K22" s="4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6">
    <mergeCell ref="A3:D3"/>
    <mergeCell ref="A5:C5"/>
    <mergeCell ref="D9:E9"/>
    <mergeCell ref="D10:E10"/>
    <mergeCell ref="D11:E11"/>
    <mergeCell ref="D12:E12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170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 t="s">
        <v>77</v>
      </c>
      <c r="B3" s="12"/>
      <c r="C3" s="12"/>
      <c r="D3" s="14"/>
      <c r="E3" s="16"/>
      <c r="F3" s="4"/>
      <c r="G3" s="4"/>
      <c r="H3" s="4"/>
      <c r="I3" s="4"/>
      <c r="J3" s="4"/>
      <c r="K3" s="4"/>
    </row>
    <row r="4" ht="14.25" customHeight="1">
      <c r="A4" s="19" t="s">
        <v>78</v>
      </c>
      <c r="B4" s="8"/>
      <c r="C4" s="8"/>
      <c r="D4" s="23"/>
      <c r="E4" s="26"/>
      <c r="F4" s="4"/>
      <c r="G4" s="4"/>
      <c r="H4" s="4"/>
      <c r="I4" s="4"/>
      <c r="J4" s="4"/>
      <c r="K4" s="4"/>
    </row>
    <row r="5">
      <c r="A5" s="29" t="s">
        <v>79</v>
      </c>
      <c r="D5" s="30"/>
      <c r="E5" s="30"/>
      <c r="F5" s="25"/>
      <c r="G5" s="25"/>
      <c r="H5" s="25"/>
      <c r="I5" s="25"/>
      <c r="J5" s="25"/>
      <c r="K5" s="25"/>
    </row>
    <row r="6">
      <c r="A6" s="171" t="s">
        <v>14</v>
      </c>
      <c r="B6" s="37"/>
      <c r="C6" s="37"/>
      <c r="D6" s="39"/>
      <c r="E6" s="39"/>
      <c r="F6" s="25"/>
      <c r="G6" s="25"/>
      <c r="H6" s="25"/>
      <c r="I6" s="25"/>
      <c r="J6" s="25"/>
      <c r="K6" s="25"/>
    </row>
    <row r="7">
      <c r="A7" s="171" t="s">
        <v>80</v>
      </c>
      <c r="B7" s="37"/>
      <c r="C7" s="37"/>
      <c r="D7" s="39"/>
      <c r="E7" s="39"/>
      <c r="F7" s="25"/>
      <c r="G7" s="25"/>
      <c r="H7" s="25"/>
      <c r="I7" s="25"/>
      <c r="J7" s="25"/>
      <c r="K7" s="25"/>
    </row>
    <row r="8">
      <c r="A8" s="172" t="s">
        <v>12</v>
      </c>
      <c r="B8" s="173" t="s">
        <v>16</v>
      </c>
      <c r="C8" s="173" t="s">
        <v>20</v>
      </c>
      <c r="D8" s="174" t="s">
        <v>22</v>
      </c>
      <c r="E8" s="14"/>
      <c r="F8" s="45"/>
      <c r="G8" s="45"/>
      <c r="H8" s="45"/>
      <c r="I8" s="45"/>
      <c r="J8" s="45"/>
      <c r="K8" s="45"/>
    </row>
    <row r="9">
      <c r="A9" s="50" t="s">
        <v>81</v>
      </c>
      <c r="B9" s="59">
        <v>70.0</v>
      </c>
      <c r="C9" s="60" t="s">
        <v>25</v>
      </c>
      <c r="D9" s="62"/>
      <c r="E9" s="14"/>
      <c r="F9" s="45"/>
      <c r="G9" s="45"/>
      <c r="H9" s="45"/>
      <c r="I9" s="45"/>
      <c r="J9" s="45"/>
      <c r="K9" s="45"/>
    </row>
    <row r="10">
      <c r="A10" s="54" t="s">
        <v>82</v>
      </c>
      <c r="B10" s="65">
        <v>10.0</v>
      </c>
      <c r="C10" s="67" t="s">
        <v>25</v>
      </c>
      <c r="D10" s="69"/>
      <c r="E10" s="70"/>
      <c r="F10" s="45"/>
      <c r="G10" s="45"/>
      <c r="H10" s="45"/>
      <c r="I10" s="45"/>
      <c r="J10" s="45"/>
      <c r="K10" s="45"/>
    </row>
    <row r="11">
      <c r="A11" s="76"/>
      <c r="B11" s="78"/>
      <c r="C11" s="80"/>
      <c r="D11" s="81"/>
      <c r="E11" s="82"/>
      <c r="F11" s="45"/>
      <c r="G11" s="45"/>
      <c r="H11" s="45"/>
      <c r="I11" s="45"/>
      <c r="J11" s="45"/>
      <c r="K11" s="45"/>
    </row>
    <row r="12">
      <c r="A12" s="175" t="s">
        <v>38</v>
      </c>
      <c r="B12" s="86"/>
      <c r="C12" s="86"/>
      <c r="D12" s="87"/>
      <c r="E12" s="176"/>
      <c r="F12" s="45"/>
      <c r="G12" s="45"/>
      <c r="H12" s="45"/>
      <c r="I12" s="45"/>
      <c r="J12" s="45"/>
      <c r="K12" s="45"/>
    </row>
    <row r="13">
      <c r="A13" s="50" t="s">
        <v>83</v>
      </c>
      <c r="B13" s="88"/>
      <c r="C13" s="88"/>
      <c r="D13" s="88"/>
      <c r="E13" s="89"/>
      <c r="F13" s="45"/>
      <c r="G13" s="45"/>
      <c r="H13" s="45"/>
      <c r="I13" s="45"/>
      <c r="J13" s="45"/>
      <c r="K13" s="45"/>
    </row>
    <row r="14">
      <c r="A14" s="54" t="s">
        <v>84</v>
      </c>
      <c r="B14" s="94"/>
      <c r="C14" s="94"/>
      <c r="D14" s="94"/>
      <c r="E14" s="96"/>
      <c r="F14" s="45"/>
      <c r="G14" s="45"/>
      <c r="H14" s="45"/>
      <c r="I14" s="45"/>
      <c r="J14" s="45"/>
      <c r="K14" s="45"/>
    </row>
    <row r="15">
      <c r="A15" s="54" t="s">
        <v>85</v>
      </c>
      <c r="B15" s="94"/>
      <c r="C15" s="94"/>
      <c r="D15" s="94"/>
      <c r="E15" s="96"/>
      <c r="F15" s="45"/>
      <c r="G15" s="45"/>
      <c r="H15" s="45"/>
      <c r="I15" s="45"/>
      <c r="J15" s="45"/>
      <c r="K15" s="45"/>
    </row>
    <row r="16" ht="15.75" customHeight="1">
      <c r="A16" s="58" t="s">
        <v>86</v>
      </c>
      <c r="B16" s="103"/>
      <c r="C16" s="103"/>
      <c r="D16" s="103"/>
      <c r="E16" s="107"/>
      <c r="F16" s="45"/>
      <c r="G16" s="45"/>
      <c r="H16" s="45"/>
      <c r="I16" s="45"/>
      <c r="J16" s="45"/>
      <c r="K16" s="45"/>
    </row>
    <row r="17" ht="15.75" customHeight="1">
      <c r="A17" s="28"/>
      <c r="B17" s="28"/>
      <c r="C17" s="28"/>
      <c r="D17" s="45"/>
      <c r="E17" s="45"/>
      <c r="F17" s="45"/>
      <c r="G17" s="45"/>
      <c r="H17" s="45"/>
      <c r="I17" s="45"/>
      <c r="J17" s="45"/>
      <c r="K17" s="45"/>
    </row>
    <row r="18" ht="15.75" customHeight="1">
      <c r="A18" s="28"/>
      <c r="B18" s="28"/>
      <c r="C18" s="28"/>
      <c r="D18" s="45"/>
      <c r="E18" s="45"/>
      <c r="F18" s="45"/>
      <c r="G18" s="45"/>
      <c r="H18" s="45"/>
      <c r="I18" s="45"/>
      <c r="J18" s="45"/>
      <c r="K18" s="45"/>
    </row>
    <row r="19" ht="15.75" customHeight="1">
      <c r="B19" s="5"/>
    </row>
    <row r="20" ht="15.75" customHeight="1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5">
    <mergeCell ref="A3:D3"/>
    <mergeCell ref="A5:C5"/>
    <mergeCell ref="D8:E8"/>
    <mergeCell ref="D9:E9"/>
    <mergeCell ref="D10:E1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 t="s">
        <v>87</v>
      </c>
      <c r="B3" s="12"/>
      <c r="C3" s="12"/>
      <c r="D3" s="12"/>
      <c r="E3" s="177"/>
      <c r="F3" s="4"/>
      <c r="G3" s="4"/>
      <c r="H3" s="4"/>
      <c r="I3" s="4"/>
      <c r="J3" s="4"/>
      <c r="K3" s="4"/>
    </row>
    <row r="4" ht="14.25" customHeight="1">
      <c r="A4" s="19" t="s">
        <v>88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89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80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 t="s">
        <v>81</v>
      </c>
      <c r="B9" s="59">
        <v>60.0</v>
      </c>
      <c r="C9" s="60" t="s">
        <v>25</v>
      </c>
      <c r="D9" s="62"/>
      <c r="E9" s="14"/>
      <c r="F9" s="45"/>
      <c r="G9" s="45"/>
      <c r="H9" s="45"/>
      <c r="I9" s="45"/>
      <c r="J9" s="45"/>
      <c r="K9" s="45"/>
    </row>
    <row r="10">
      <c r="A10" s="54" t="s">
        <v>90</v>
      </c>
      <c r="B10" s="65">
        <v>10.0</v>
      </c>
      <c r="C10" s="74" t="s">
        <v>25</v>
      </c>
      <c r="D10" s="69"/>
      <c r="E10" s="70"/>
      <c r="F10" s="45"/>
      <c r="G10" s="45"/>
      <c r="H10" s="45"/>
      <c r="I10" s="45"/>
      <c r="J10" s="45"/>
      <c r="K10" s="45"/>
    </row>
    <row r="11">
      <c r="A11" s="54" t="s">
        <v>91</v>
      </c>
      <c r="B11" s="65">
        <v>30.0</v>
      </c>
      <c r="C11" s="74" t="s">
        <v>25</v>
      </c>
      <c r="D11" s="69"/>
      <c r="E11" s="70"/>
      <c r="F11" s="45"/>
      <c r="G11" s="45"/>
      <c r="H11" s="45"/>
      <c r="I11" s="45"/>
      <c r="J11" s="45"/>
      <c r="K11" s="45"/>
    </row>
    <row r="12">
      <c r="A12" s="54" t="s">
        <v>92</v>
      </c>
      <c r="B12" s="65">
        <v>2.0</v>
      </c>
      <c r="C12" s="74" t="s">
        <v>93</v>
      </c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95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96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99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101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43"/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 t="s">
        <v>104</v>
      </c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 t="s">
        <v>109</v>
      </c>
      <c r="B24" s="210">
        <v>850.0</v>
      </c>
      <c r="C24" s="212" t="s">
        <v>25</v>
      </c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 t="s">
        <v>110</v>
      </c>
      <c r="B25" s="215">
        <v>90.0</v>
      </c>
      <c r="C25" s="217" t="s">
        <v>112</v>
      </c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 t="s">
        <v>113</v>
      </c>
      <c r="B26" s="215">
        <v>200.0</v>
      </c>
      <c r="C26" s="217" t="s">
        <v>112</v>
      </c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 t="s">
        <v>115</v>
      </c>
      <c r="B27" s="215">
        <v>2.0</v>
      </c>
      <c r="C27" s="217" t="s">
        <v>112</v>
      </c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 t="s">
        <v>116</v>
      </c>
      <c r="B28" s="215">
        <v>1.0</v>
      </c>
      <c r="C28" s="217" t="s">
        <v>118</v>
      </c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 t="s">
        <v>120</v>
      </c>
      <c r="B29" s="215">
        <v>25.0</v>
      </c>
      <c r="C29" s="217" t="s">
        <v>112</v>
      </c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 t="s">
        <v>123</v>
      </c>
      <c r="B30" s="215">
        <v>1.0</v>
      </c>
      <c r="C30" s="217" t="s">
        <v>112</v>
      </c>
      <c r="D30" s="69"/>
      <c r="E30" s="222" t="s">
        <v>124</v>
      </c>
      <c r="F30" s="45"/>
      <c r="G30" s="45"/>
      <c r="H30" s="45"/>
      <c r="I30" s="45"/>
      <c r="J30" s="45"/>
      <c r="K30" s="45"/>
    </row>
    <row r="31" ht="15.75" customHeight="1">
      <c r="A31" s="54" t="s">
        <v>128</v>
      </c>
      <c r="B31" s="215">
        <v>5.0</v>
      </c>
      <c r="C31" s="217" t="s">
        <v>112</v>
      </c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>
        <v>46054.0</v>
      </c>
      <c r="C32" s="217" t="s">
        <v>118</v>
      </c>
      <c r="D32" s="69"/>
      <c r="E32" s="222" t="s">
        <v>131</v>
      </c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>
        <v>900.0</v>
      </c>
      <c r="C36" s="234" t="s">
        <v>25</v>
      </c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 t="s">
        <v>141</v>
      </c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 t="s">
        <v>146</v>
      </c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 t="s">
        <v>150</v>
      </c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 t="s">
        <v>153</v>
      </c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 t="s">
        <v>156</v>
      </c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 t="s">
        <v>160</v>
      </c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44.25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86" t="s">
        <v>94</v>
      </c>
      <c r="B3" s="187"/>
      <c r="C3" s="187"/>
      <c r="D3" s="187"/>
      <c r="E3" s="189"/>
      <c r="F3" s="193"/>
      <c r="G3" s="193"/>
      <c r="H3" s="198"/>
      <c r="I3" s="4"/>
      <c r="J3" s="4"/>
      <c r="K3" s="4"/>
    </row>
    <row r="4" ht="22.5" customHeight="1">
      <c r="A4" s="201" t="s">
        <v>98</v>
      </c>
      <c r="B4" s="8"/>
      <c r="C4" s="8"/>
      <c r="D4" s="8"/>
      <c r="E4" s="13"/>
      <c r="F4" s="4"/>
      <c r="G4" s="4"/>
      <c r="H4" s="203"/>
      <c r="I4" s="4"/>
      <c r="J4" s="4"/>
      <c r="K4" s="4"/>
    </row>
    <row r="5">
      <c r="A5" s="201" t="s">
        <v>102</v>
      </c>
      <c r="D5" s="21"/>
      <c r="E5" s="21"/>
      <c r="F5" s="25"/>
      <c r="G5" s="25"/>
      <c r="H5" s="205"/>
      <c r="I5" s="25"/>
      <c r="J5" s="25"/>
      <c r="K5" s="25"/>
    </row>
    <row r="6">
      <c r="A6" s="201" t="s">
        <v>106</v>
      </c>
      <c r="B6" s="28"/>
      <c r="C6" s="28"/>
      <c r="D6" s="21"/>
      <c r="E6" s="21"/>
      <c r="F6" s="25"/>
      <c r="G6" s="25"/>
      <c r="H6" s="205"/>
      <c r="I6" s="25"/>
      <c r="J6" s="25"/>
      <c r="K6" s="25"/>
    </row>
    <row r="7">
      <c r="A7" s="201" t="s">
        <v>108</v>
      </c>
      <c r="B7" s="28"/>
      <c r="C7" s="28"/>
      <c r="D7" s="21"/>
      <c r="E7" s="21"/>
      <c r="F7" s="25"/>
      <c r="G7" s="25"/>
      <c r="H7" s="205"/>
      <c r="I7" s="25"/>
      <c r="J7" s="25"/>
      <c r="K7" s="25"/>
    </row>
    <row r="8">
      <c r="A8" s="208" t="s">
        <v>12</v>
      </c>
      <c r="B8" s="211" t="s">
        <v>16</v>
      </c>
      <c r="C8" s="211" t="s">
        <v>20</v>
      </c>
      <c r="D8" s="213" t="s">
        <v>22</v>
      </c>
      <c r="F8" s="214"/>
      <c r="G8" s="214"/>
      <c r="H8" s="216"/>
      <c r="I8" s="45"/>
      <c r="J8" s="45"/>
      <c r="K8" s="45"/>
    </row>
    <row r="9">
      <c r="A9" s="83" t="s">
        <v>114</v>
      </c>
      <c r="B9" s="65">
        <v>50.0</v>
      </c>
      <c r="C9" s="74" t="s">
        <v>25</v>
      </c>
      <c r="D9" s="69"/>
      <c r="F9" s="45"/>
      <c r="G9" s="45"/>
      <c r="H9" s="219"/>
      <c r="I9" s="45"/>
      <c r="J9" s="45"/>
      <c r="K9" s="45"/>
    </row>
    <row r="10">
      <c r="A10" s="83" t="s">
        <v>119</v>
      </c>
      <c r="B10" s="65">
        <v>15.0</v>
      </c>
      <c r="C10" s="74" t="s">
        <v>25</v>
      </c>
      <c r="D10" s="69"/>
      <c r="F10" s="45"/>
      <c r="G10" s="45"/>
      <c r="H10" s="219"/>
      <c r="I10" s="45"/>
      <c r="J10" s="45"/>
      <c r="K10" s="45"/>
    </row>
    <row r="11">
      <c r="A11" s="83" t="s">
        <v>122</v>
      </c>
      <c r="B11" s="65">
        <v>20.0</v>
      </c>
      <c r="C11" s="74" t="s">
        <v>25</v>
      </c>
      <c r="D11" s="220"/>
      <c r="F11" s="45"/>
      <c r="G11" s="45"/>
      <c r="H11" s="219"/>
      <c r="I11" s="45"/>
      <c r="J11" s="45"/>
      <c r="K11" s="45"/>
    </row>
    <row r="12">
      <c r="A12" s="83" t="s">
        <v>125</v>
      </c>
      <c r="B12" s="65">
        <v>1.0</v>
      </c>
      <c r="C12" s="74" t="s">
        <v>118</v>
      </c>
      <c r="D12" s="69"/>
      <c r="E12" s="223"/>
      <c r="F12" s="45"/>
      <c r="G12" s="45"/>
      <c r="H12" s="219"/>
      <c r="I12" s="45"/>
      <c r="J12" s="45"/>
      <c r="K12" s="45"/>
    </row>
    <row r="13">
      <c r="A13" s="225"/>
      <c r="B13" s="5"/>
      <c r="C13" s="67"/>
      <c r="D13" s="69"/>
      <c r="F13" s="45"/>
      <c r="G13" s="45"/>
      <c r="H13" s="219"/>
      <c r="I13" s="45"/>
      <c r="J13" s="45"/>
      <c r="K13" s="45"/>
    </row>
    <row r="14">
      <c r="A14" s="225"/>
      <c r="B14" s="5"/>
      <c r="C14" s="67"/>
      <c r="D14" s="69"/>
      <c r="E14" s="69"/>
      <c r="F14" s="45"/>
      <c r="G14" s="45"/>
      <c r="H14" s="219"/>
      <c r="I14" s="45"/>
      <c r="J14" s="45"/>
      <c r="K14" s="45"/>
    </row>
    <row r="15">
      <c r="A15" s="230" t="s">
        <v>48</v>
      </c>
      <c r="B15" s="86"/>
      <c r="C15" s="86"/>
      <c r="D15" s="87"/>
      <c r="E15" s="87"/>
      <c r="F15" s="87"/>
      <c r="G15" s="87"/>
      <c r="H15" s="231"/>
      <c r="I15" s="45"/>
      <c r="J15" s="45"/>
      <c r="K15" s="45"/>
    </row>
    <row r="16">
      <c r="A16" s="77" t="s">
        <v>135</v>
      </c>
      <c r="B16" s="79"/>
      <c r="C16" s="79"/>
      <c r="D16" s="79"/>
      <c r="E16" s="79"/>
      <c r="F16" s="45"/>
      <c r="G16" s="45"/>
      <c r="H16" s="219"/>
      <c r="I16" s="45"/>
      <c r="J16" s="45"/>
      <c r="K16" s="45"/>
    </row>
    <row r="17">
      <c r="A17" s="83" t="s">
        <v>136</v>
      </c>
      <c r="B17" s="79"/>
      <c r="C17" s="79"/>
      <c r="D17" s="79"/>
      <c r="E17" s="79"/>
      <c r="F17" s="45"/>
      <c r="G17" s="45"/>
      <c r="H17" s="219"/>
      <c r="I17" s="45"/>
      <c r="J17" s="45"/>
      <c r="K17" s="45"/>
    </row>
    <row r="18">
      <c r="A18" s="83" t="s">
        <v>137</v>
      </c>
      <c r="B18" s="79"/>
      <c r="C18" s="79"/>
      <c r="D18" s="79"/>
      <c r="E18" s="79"/>
      <c r="F18" s="45"/>
      <c r="G18" s="45"/>
      <c r="H18" s="219"/>
      <c r="I18" s="45"/>
      <c r="J18" s="45"/>
      <c r="K18" s="45"/>
    </row>
    <row r="19">
      <c r="A19" s="83" t="s">
        <v>139</v>
      </c>
      <c r="F19" s="45"/>
      <c r="G19" s="45"/>
      <c r="H19" s="219"/>
      <c r="I19" s="45"/>
      <c r="J19" s="45"/>
      <c r="K19" s="45"/>
    </row>
    <row r="20">
      <c r="A20" s="90" t="s">
        <v>142</v>
      </c>
      <c r="D20" s="45"/>
      <c r="E20" s="45"/>
      <c r="F20" s="45"/>
      <c r="G20" s="45"/>
      <c r="H20" s="219"/>
      <c r="I20" s="45"/>
      <c r="J20" s="45"/>
      <c r="K20" s="45"/>
    </row>
    <row r="21">
      <c r="A21" s="95" t="s">
        <v>145</v>
      </c>
      <c r="B21" s="28"/>
      <c r="C21" s="28"/>
      <c r="D21" s="45"/>
      <c r="E21" s="45"/>
      <c r="F21" s="45"/>
      <c r="G21" s="45"/>
      <c r="H21" s="219"/>
      <c r="I21" s="45"/>
      <c r="J21" s="45"/>
      <c r="K21" s="45"/>
    </row>
    <row r="22" ht="15.75" customHeight="1">
      <c r="A22" s="98" t="s">
        <v>148</v>
      </c>
      <c r="B22" s="100"/>
      <c r="C22" s="100"/>
      <c r="D22" s="102"/>
      <c r="E22" s="102"/>
      <c r="F22" s="102"/>
      <c r="G22" s="102"/>
      <c r="H22" s="219"/>
      <c r="I22" s="45"/>
      <c r="J22" s="45"/>
      <c r="K22" s="45"/>
    </row>
    <row r="23" ht="15.75" customHeight="1">
      <c r="A23" s="108" t="s">
        <v>155</v>
      </c>
      <c r="B23" s="110"/>
      <c r="C23" s="110"/>
      <c r="D23" s="112"/>
      <c r="E23" s="112"/>
      <c r="F23" s="112"/>
      <c r="G23" s="112"/>
      <c r="H23" s="243"/>
      <c r="I23" s="45"/>
      <c r="J23" s="45"/>
      <c r="K23" s="45"/>
    </row>
    <row r="24" ht="15.75" customHeight="1">
      <c r="A24" s="247"/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9">
    <mergeCell ref="A19:E19"/>
    <mergeCell ref="A20:C20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1.25"/>
    <col customWidth="1" min="2" max="2" width="17.13"/>
    <col customWidth="1" min="3" max="3" width="34.75"/>
    <col customWidth="1" min="4" max="4" width="16.25"/>
    <col customWidth="1" min="5" max="5" width="35.0"/>
    <col customWidth="1" min="6" max="11" width="8.88"/>
  </cols>
  <sheetData>
    <row r="1" ht="6.75" customHeight="1">
      <c r="A1" s="188"/>
      <c r="B1" s="191"/>
      <c r="C1" s="192"/>
      <c r="D1" s="194"/>
      <c r="E1" s="196"/>
      <c r="F1" s="4"/>
      <c r="G1" s="4"/>
      <c r="H1" s="4"/>
      <c r="I1" s="4"/>
      <c r="J1" s="4"/>
      <c r="K1" s="4"/>
    </row>
    <row r="2" ht="6.0" customHeight="1">
      <c r="A2" s="199"/>
      <c r="B2" s="7"/>
      <c r="C2" s="6"/>
      <c r="D2" s="6"/>
      <c r="E2" s="200"/>
      <c r="F2" s="4"/>
      <c r="G2" s="4"/>
      <c r="H2" s="4"/>
      <c r="I2" s="4"/>
      <c r="J2" s="4"/>
      <c r="K2" s="4"/>
    </row>
    <row r="3" ht="57.0" customHeight="1">
      <c r="A3" s="11" t="s">
        <v>97</v>
      </c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100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103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105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107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209" t="s">
        <v>12</v>
      </c>
      <c r="B8" s="182" t="s">
        <v>16</v>
      </c>
      <c r="C8" s="182" t="s">
        <v>20</v>
      </c>
      <c r="D8" s="183" t="s">
        <v>22</v>
      </c>
      <c r="E8" s="70"/>
      <c r="F8" s="45"/>
      <c r="G8" s="45"/>
      <c r="H8" s="45"/>
      <c r="I8" s="45"/>
      <c r="J8" s="45"/>
      <c r="K8" s="45"/>
    </row>
    <row r="9">
      <c r="A9" s="50" t="s">
        <v>111</v>
      </c>
      <c r="B9" s="59">
        <v>50.0</v>
      </c>
      <c r="C9" s="218" t="s">
        <v>25</v>
      </c>
      <c r="D9" s="62"/>
      <c r="E9" s="14"/>
      <c r="F9" s="45"/>
      <c r="G9" s="45"/>
      <c r="H9" s="45"/>
      <c r="I9" s="45"/>
      <c r="J9" s="45"/>
      <c r="K9" s="45"/>
    </row>
    <row r="10">
      <c r="A10" s="54" t="s">
        <v>117</v>
      </c>
      <c r="B10" s="65">
        <v>20.0</v>
      </c>
      <c r="C10" s="74" t="s">
        <v>25</v>
      </c>
      <c r="D10" s="69"/>
      <c r="E10" s="70"/>
      <c r="F10" s="45"/>
      <c r="G10" s="45"/>
      <c r="H10" s="45"/>
      <c r="I10" s="45"/>
      <c r="J10" s="45"/>
      <c r="K10" s="45"/>
    </row>
    <row r="11">
      <c r="A11" s="54" t="s">
        <v>41</v>
      </c>
      <c r="B11" s="65">
        <v>25.0</v>
      </c>
      <c r="C11" s="74" t="s">
        <v>25</v>
      </c>
      <c r="D11" s="69"/>
      <c r="E11" s="70"/>
      <c r="F11" s="45"/>
      <c r="G11" s="45"/>
      <c r="H11" s="45"/>
      <c r="I11" s="45"/>
      <c r="J11" s="45"/>
      <c r="K11" s="45"/>
    </row>
    <row r="12">
      <c r="A12" s="54" t="s">
        <v>126</v>
      </c>
      <c r="B12" s="65">
        <v>1.0</v>
      </c>
      <c r="C12" s="74" t="s">
        <v>118</v>
      </c>
      <c r="D12" s="69"/>
      <c r="E12" s="75"/>
      <c r="F12" s="45"/>
      <c r="G12" s="45"/>
      <c r="H12" s="45"/>
      <c r="I12" s="45"/>
      <c r="J12" s="45"/>
      <c r="K12" s="45"/>
    </row>
    <row r="13">
      <c r="A13" s="54" t="s">
        <v>129</v>
      </c>
      <c r="B13" s="65">
        <v>3.0</v>
      </c>
      <c r="C13" s="74" t="s">
        <v>45</v>
      </c>
      <c r="D13" s="228" t="s">
        <v>130</v>
      </c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233" t="s">
        <v>48</v>
      </c>
      <c r="B16" s="195"/>
      <c r="C16" s="195"/>
      <c r="D16" s="197"/>
      <c r="E16" s="236"/>
      <c r="F16" s="45"/>
      <c r="G16" s="45"/>
      <c r="H16" s="45"/>
      <c r="I16" s="45"/>
      <c r="J16" s="45"/>
      <c r="K16" s="45"/>
    </row>
    <row r="17">
      <c r="A17" s="50" t="s">
        <v>140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144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149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154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122" t="s">
        <v>158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22" t="s">
        <v>162</v>
      </c>
      <c r="B22" s="123"/>
      <c r="C22" s="123"/>
      <c r="D22" s="45"/>
      <c r="E22" s="204"/>
      <c r="F22" s="45"/>
      <c r="G22" s="45"/>
      <c r="H22" s="45"/>
      <c r="I22" s="45"/>
      <c r="J22" s="45"/>
      <c r="K22" s="45"/>
    </row>
    <row r="23" ht="15.75" customHeight="1">
      <c r="A23" s="122" t="s">
        <v>163</v>
      </c>
      <c r="B23" s="123"/>
      <c r="C23" s="123"/>
      <c r="D23" s="45"/>
      <c r="E23" s="204"/>
      <c r="F23" s="45"/>
      <c r="G23" s="45"/>
      <c r="H23" s="45"/>
      <c r="I23" s="45"/>
      <c r="J23" s="45"/>
      <c r="K23" s="45"/>
    </row>
    <row r="24" ht="15.75" customHeight="1">
      <c r="A24" s="122" t="s">
        <v>164</v>
      </c>
      <c r="B24" s="123"/>
      <c r="C24" s="123"/>
      <c r="D24" s="45"/>
      <c r="E24" s="204"/>
      <c r="F24" s="45"/>
      <c r="G24" s="45"/>
      <c r="H24" s="45"/>
      <c r="I24" s="45"/>
      <c r="J24" s="45"/>
      <c r="K24" s="45"/>
    </row>
    <row r="25" ht="15.75" customHeight="1">
      <c r="A25" s="171"/>
      <c r="B25" s="37"/>
      <c r="C25" s="37"/>
      <c r="D25" s="206"/>
      <c r="E25" s="207"/>
      <c r="F25" s="45"/>
      <c r="G25" s="45"/>
      <c r="H25" s="45"/>
      <c r="I25" s="45"/>
      <c r="J25" s="45"/>
      <c r="K25" s="45"/>
    </row>
    <row r="26" ht="15.75" customHeight="1">
      <c r="A26" s="79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28"/>
      <c r="D27" s="121"/>
      <c r="E27" s="121"/>
      <c r="F27" s="45"/>
      <c r="G27" s="45"/>
      <c r="H27" s="45"/>
      <c r="I27" s="45"/>
      <c r="J27" s="45"/>
      <c r="K27" s="4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9">
    <mergeCell ref="A21:C21"/>
    <mergeCell ref="A27:C27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86" t="s">
        <v>121</v>
      </c>
      <c r="B3" s="187"/>
      <c r="C3" s="187"/>
      <c r="D3" s="187"/>
      <c r="E3" s="221"/>
      <c r="F3" s="4"/>
      <c r="G3" s="4"/>
      <c r="H3" s="4"/>
      <c r="I3" s="4"/>
      <c r="J3" s="4"/>
      <c r="K3" s="4"/>
    </row>
    <row r="4" ht="18.0" customHeight="1">
      <c r="A4" s="224" t="s">
        <v>127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132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133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01" t="s">
        <v>134</v>
      </c>
      <c r="B7" s="28"/>
      <c r="C7" s="28"/>
      <c r="D7" s="21"/>
      <c r="E7" s="226"/>
      <c r="F7" s="25"/>
      <c r="G7" s="25"/>
      <c r="H7" s="25"/>
      <c r="I7" s="25"/>
      <c r="J7" s="25"/>
      <c r="K7" s="25"/>
    </row>
    <row r="8">
      <c r="A8" s="208" t="s">
        <v>12</v>
      </c>
      <c r="B8" s="211" t="s">
        <v>16</v>
      </c>
      <c r="C8" s="211" t="s">
        <v>20</v>
      </c>
      <c r="D8" s="213" t="s">
        <v>22</v>
      </c>
      <c r="E8" s="235"/>
      <c r="F8" s="45"/>
      <c r="G8" s="45"/>
      <c r="H8" s="45"/>
      <c r="I8" s="45"/>
      <c r="J8" s="45"/>
      <c r="K8" s="45"/>
    </row>
    <row r="9">
      <c r="A9" s="83" t="s">
        <v>138</v>
      </c>
      <c r="B9" s="65">
        <v>50.0</v>
      </c>
      <c r="C9" s="74" t="s">
        <v>25</v>
      </c>
      <c r="D9" s="69"/>
      <c r="E9" s="235"/>
      <c r="F9" s="45"/>
      <c r="G9" s="45"/>
      <c r="H9" s="45"/>
      <c r="I9" s="45"/>
      <c r="J9" s="45"/>
      <c r="K9" s="45"/>
    </row>
    <row r="10">
      <c r="A10" s="83" t="s">
        <v>143</v>
      </c>
      <c r="B10" s="65">
        <v>25.0</v>
      </c>
      <c r="C10" s="74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147</v>
      </c>
      <c r="B11" s="65">
        <v>20.0</v>
      </c>
      <c r="C11" s="74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 t="s">
        <v>151</v>
      </c>
      <c r="B12" s="65" t="s">
        <v>152</v>
      </c>
      <c r="C12" s="74" t="s">
        <v>118</v>
      </c>
      <c r="D12" s="69"/>
      <c r="E12" s="240"/>
      <c r="F12" s="45"/>
      <c r="G12" s="45"/>
      <c r="H12" s="45"/>
      <c r="I12" s="45"/>
      <c r="J12" s="45"/>
      <c r="K12" s="45"/>
    </row>
    <row r="13">
      <c r="A13" s="83" t="s">
        <v>157</v>
      </c>
      <c r="B13" s="65">
        <v>2.0</v>
      </c>
      <c r="C13" s="74" t="s">
        <v>159</v>
      </c>
      <c r="D13" s="69"/>
      <c r="E13" s="235"/>
      <c r="F13" s="45"/>
      <c r="G13" s="45"/>
      <c r="H13" s="45"/>
      <c r="I13" s="45"/>
      <c r="J13" s="45"/>
      <c r="K13" s="45"/>
    </row>
    <row r="14">
      <c r="A14" s="83" t="s">
        <v>161</v>
      </c>
      <c r="B14" s="65">
        <v>60.0</v>
      </c>
      <c r="C14" s="74" t="s">
        <v>25</v>
      </c>
      <c r="D14" s="69"/>
      <c r="E14" s="245"/>
      <c r="F14" s="45"/>
      <c r="G14" s="45"/>
      <c r="H14" s="45"/>
      <c r="I14" s="45"/>
      <c r="J14" s="45"/>
      <c r="K14" s="45"/>
    </row>
    <row r="15">
      <c r="A15" s="225"/>
      <c r="B15" s="5"/>
      <c r="C15" s="67"/>
      <c r="D15" s="69"/>
      <c r="E15" s="245"/>
      <c r="F15" s="45"/>
      <c r="G15" s="45"/>
      <c r="H15" s="45"/>
      <c r="I15" s="45"/>
      <c r="J15" s="45"/>
      <c r="K15" s="45"/>
    </row>
    <row r="16">
      <c r="A16" s="230" t="s">
        <v>48</v>
      </c>
      <c r="B16" s="86"/>
      <c r="C16" s="86"/>
      <c r="D16" s="87"/>
      <c r="E16" s="231"/>
      <c r="F16" s="45"/>
      <c r="G16" s="45"/>
      <c r="H16" s="45"/>
      <c r="I16" s="45"/>
      <c r="J16" s="45"/>
      <c r="K16" s="45"/>
    </row>
    <row r="17">
      <c r="A17" s="83" t="s">
        <v>165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>
      <c r="A18" s="83" t="s">
        <v>166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>
      <c r="A19" s="83" t="s">
        <v>167</v>
      </c>
      <c r="B19" s="94"/>
      <c r="C19" s="94"/>
      <c r="D19" s="94"/>
      <c r="E19" s="248"/>
      <c r="F19" s="45"/>
      <c r="G19" s="45"/>
      <c r="H19" s="45"/>
      <c r="I19" s="45"/>
      <c r="J19" s="45"/>
      <c r="K19" s="45"/>
    </row>
    <row r="20" ht="15.75" customHeight="1">
      <c r="A20" s="83" t="s">
        <v>168</v>
      </c>
      <c r="B20" s="94"/>
      <c r="C20" s="94"/>
      <c r="D20" s="94"/>
      <c r="E20" s="248"/>
      <c r="F20" s="45"/>
      <c r="G20" s="45"/>
      <c r="H20" s="45"/>
      <c r="I20" s="45"/>
      <c r="J20" s="45"/>
      <c r="K20" s="45"/>
    </row>
    <row r="21" ht="15.75" customHeight="1">
      <c r="A21" s="98" t="s">
        <v>169</v>
      </c>
      <c r="D21" s="45"/>
      <c r="E21" s="219"/>
      <c r="F21" s="45"/>
      <c r="G21" s="45"/>
      <c r="H21" s="45"/>
      <c r="I21" s="45"/>
      <c r="J21" s="45"/>
      <c r="K21" s="45"/>
    </row>
    <row r="22" ht="15.75" customHeight="1">
      <c r="A22" s="98" t="s">
        <v>170</v>
      </c>
      <c r="B22" s="249"/>
      <c r="C22" s="249"/>
      <c r="D22" s="45"/>
      <c r="E22" s="219"/>
      <c r="F22" s="45"/>
      <c r="G22" s="45"/>
      <c r="H22" s="45"/>
      <c r="I22" s="45"/>
      <c r="J22" s="45"/>
      <c r="K22" s="45"/>
    </row>
    <row r="23" ht="15.75" customHeight="1">
      <c r="A23" s="250"/>
      <c r="B23" s="251"/>
      <c r="C23" s="251"/>
      <c r="D23" s="252"/>
      <c r="E23" s="243"/>
      <c r="F23" s="45"/>
      <c r="G23" s="45"/>
      <c r="H23" s="45"/>
      <c r="I23" s="45"/>
      <c r="J23" s="45"/>
      <c r="K23" s="45"/>
    </row>
    <row r="24" ht="15.75" customHeight="1">
      <c r="A24" s="79"/>
      <c r="B24" s="118"/>
      <c r="C24" s="120"/>
      <c r="D24" s="121"/>
      <c r="E24" s="121"/>
      <c r="F24" s="45"/>
      <c r="G24" s="45"/>
      <c r="H24" s="45"/>
      <c r="I24" s="45"/>
      <c r="J24" s="45"/>
      <c r="K24" s="45"/>
    </row>
    <row r="25" ht="15.75" customHeight="1">
      <c r="A25" s="28"/>
      <c r="D25" s="121"/>
      <c r="E25" s="121"/>
      <c r="F25" s="45"/>
      <c r="G25" s="45"/>
      <c r="H25" s="45"/>
      <c r="I25" s="45"/>
      <c r="J25" s="45"/>
      <c r="K25" s="4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mergeCells count="9">
    <mergeCell ref="A21:C21"/>
    <mergeCell ref="A25:C2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86" t="s">
        <v>171</v>
      </c>
      <c r="B3" s="187"/>
      <c r="C3" s="187"/>
      <c r="D3" s="187"/>
      <c r="E3" s="258"/>
      <c r="F3" s="193"/>
      <c r="G3" s="198"/>
      <c r="H3" s="4"/>
      <c r="I3" s="4"/>
      <c r="J3" s="4"/>
      <c r="K3" s="4"/>
    </row>
    <row r="4" ht="18.0" customHeight="1">
      <c r="A4" s="224" t="s">
        <v>172</v>
      </c>
      <c r="B4" s="8"/>
      <c r="C4" s="8"/>
      <c r="D4" s="8"/>
      <c r="E4" s="260"/>
      <c r="F4" s="4"/>
      <c r="G4" s="203"/>
      <c r="H4" s="4"/>
      <c r="I4" s="4"/>
      <c r="J4" s="4"/>
      <c r="K4" s="4"/>
    </row>
    <row r="5">
      <c r="A5" s="201" t="s">
        <v>173</v>
      </c>
      <c r="D5" s="21"/>
      <c r="E5" s="260"/>
      <c r="F5" s="25"/>
      <c r="G5" s="205"/>
      <c r="H5" s="25"/>
      <c r="I5" s="25"/>
      <c r="J5" s="25"/>
      <c r="K5" s="25"/>
    </row>
    <row r="6">
      <c r="A6" s="201" t="s">
        <v>176</v>
      </c>
      <c r="B6" s="28"/>
      <c r="C6" s="28"/>
      <c r="D6" s="21"/>
      <c r="E6" s="260"/>
      <c r="F6" s="25"/>
      <c r="G6" s="205"/>
      <c r="H6" s="25"/>
      <c r="I6" s="25"/>
      <c r="J6" s="25"/>
      <c r="K6" s="25"/>
    </row>
    <row r="7">
      <c r="A7" s="201" t="s">
        <v>178</v>
      </c>
      <c r="B7" s="28"/>
      <c r="C7" s="28"/>
      <c r="D7" s="21"/>
      <c r="E7" s="260"/>
      <c r="F7" s="25"/>
      <c r="G7" s="205"/>
      <c r="H7" s="25"/>
      <c r="I7" s="25"/>
      <c r="J7" s="25"/>
      <c r="K7" s="25"/>
    </row>
    <row r="8">
      <c r="A8" s="208" t="s">
        <v>12</v>
      </c>
      <c r="B8" s="211" t="s">
        <v>16</v>
      </c>
      <c r="C8" s="211" t="s">
        <v>20</v>
      </c>
      <c r="D8" s="213" t="s">
        <v>22</v>
      </c>
      <c r="F8" s="45"/>
      <c r="G8" s="219"/>
      <c r="H8" s="45"/>
      <c r="I8" s="45"/>
      <c r="J8" s="45"/>
      <c r="K8" s="45"/>
    </row>
    <row r="9">
      <c r="A9" s="83" t="s">
        <v>182</v>
      </c>
      <c r="B9" s="65">
        <v>50.0</v>
      </c>
      <c r="C9" s="74" t="s">
        <v>25</v>
      </c>
      <c r="D9" s="69"/>
      <c r="F9" s="45"/>
      <c r="G9" s="219"/>
      <c r="H9" s="45"/>
      <c r="I9" s="45"/>
      <c r="J9" s="45"/>
      <c r="K9" s="45"/>
    </row>
    <row r="10">
      <c r="A10" s="83" t="s">
        <v>184</v>
      </c>
      <c r="B10" s="65">
        <v>30.0</v>
      </c>
      <c r="C10" s="74" t="s">
        <v>25</v>
      </c>
      <c r="D10" s="266" t="s">
        <v>185</v>
      </c>
      <c r="F10" s="45"/>
      <c r="G10" s="219"/>
      <c r="H10" s="45"/>
      <c r="I10" s="45"/>
      <c r="J10" s="45"/>
      <c r="K10" s="45"/>
    </row>
    <row r="11">
      <c r="A11" s="83" t="s">
        <v>187</v>
      </c>
      <c r="B11" s="65">
        <v>25.0</v>
      </c>
      <c r="C11" s="74" t="s">
        <v>25</v>
      </c>
      <c r="D11" s="69"/>
      <c r="F11" s="45"/>
      <c r="G11" s="219"/>
      <c r="H11" s="45"/>
      <c r="I11" s="45"/>
      <c r="J11" s="45"/>
      <c r="K11" s="45"/>
    </row>
    <row r="12">
      <c r="A12" s="83" t="s">
        <v>117</v>
      </c>
      <c r="B12" s="65">
        <v>10.0</v>
      </c>
      <c r="C12" s="74" t="s">
        <v>25</v>
      </c>
      <c r="D12" s="69"/>
      <c r="E12" s="223"/>
      <c r="F12" s="45"/>
      <c r="G12" s="219"/>
      <c r="H12" s="45"/>
      <c r="I12" s="45"/>
      <c r="J12" s="45"/>
      <c r="K12" s="45"/>
    </row>
    <row r="13">
      <c r="A13" s="225"/>
      <c r="B13" s="5"/>
      <c r="C13" s="67"/>
      <c r="D13" s="69"/>
      <c r="F13" s="45"/>
      <c r="G13" s="219"/>
      <c r="H13" s="45"/>
      <c r="I13" s="45"/>
      <c r="J13" s="45"/>
      <c r="K13" s="45"/>
    </row>
    <row r="14">
      <c r="A14" s="225"/>
      <c r="B14" s="5"/>
      <c r="C14" s="67"/>
      <c r="D14" s="69"/>
      <c r="E14" s="69"/>
      <c r="F14" s="45"/>
      <c r="G14" s="219"/>
      <c r="H14" s="45"/>
      <c r="I14" s="45"/>
      <c r="J14" s="45"/>
      <c r="K14" s="45"/>
    </row>
    <row r="15">
      <c r="A15" s="225"/>
      <c r="B15" s="5"/>
      <c r="C15" s="67"/>
      <c r="D15" s="69"/>
      <c r="E15" s="69"/>
      <c r="F15" s="45"/>
      <c r="G15" s="219"/>
      <c r="H15" s="45"/>
      <c r="I15" s="45"/>
      <c r="J15" s="45"/>
      <c r="K15" s="45"/>
    </row>
    <row r="16">
      <c r="A16" s="230" t="s">
        <v>48</v>
      </c>
      <c r="B16" s="86"/>
      <c r="C16" s="86"/>
      <c r="D16" s="87"/>
      <c r="E16" s="87"/>
      <c r="F16" s="45"/>
      <c r="G16" s="219"/>
      <c r="H16" s="45"/>
      <c r="I16" s="45"/>
      <c r="J16" s="45"/>
      <c r="K16" s="45"/>
    </row>
    <row r="17">
      <c r="A17" s="83" t="s">
        <v>195</v>
      </c>
      <c r="B17" s="94"/>
      <c r="C17" s="94"/>
      <c r="D17" s="94"/>
      <c r="E17" s="94"/>
      <c r="F17" s="45"/>
      <c r="G17" s="219"/>
      <c r="H17" s="45"/>
      <c r="I17" s="45"/>
      <c r="J17" s="45"/>
      <c r="K17" s="45"/>
    </row>
    <row r="18">
      <c r="A18" s="77" t="s">
        <v>197</v>
      </c>
      <c r="B18" s="94"/>
      <c r="C18" s="94"/>
      <c r="D18" s="94"/>
      <c r="E18" s="94"/>
      <c r="F18" s="45"/>
      <c r="G18" s="219"/>
      <c r="H18" s="45"/>
      <c r="I18" s="45"/>
      <c r="J18" s="45"/>
      <c r="K18" s="45"/>
    </row>
    <row r="19">
      <c r="A19" s="83" t="s">
        <v>198</v>
      </c>
      <c r="B19" s="94"/>
      <c r="C19" s="94"/>
      <c r="D19" s="94"/>
      <c r="E19" s="94"/>
      <c r="F19" s="45"/>
      <c r="G19" s="219"/>
      <c r="H19" s="45"/>
      <c r="I19" s="45"/>
      <c r="J19" s="45"/>
      <c r="K19" s="45"/>
    </row>
    <row r="20" ht="15.75" customHeight="1">
      <c r="A20" s="83" t="s">
        <v>200</v>
      </c>
      <c r="B20" s="94"/>
      <c r="C20" s="94"/>
      <c r="D20" s="94"/>
      <c r="E20" s="94"/>
      <c r="F20" s="45"/>
      <c r="G20" s="219"/>
      <c r="H20" s="45"/>
      <c r="I20" s="45"/>
      <c r="J20" s="45"/>
      <c r="K20" s="45"/>
    </row>
    <row r="21" ht="15.75" customHeight="1">
      <c r="A21" s="271" t="s">
        <v>201</v>
      </c>
      <c r="D21" s="45"/>
      <c r="E21" s="45"/>
      <c r="F21" s="45"/>
      <c r="G21" s="219"/>
      <c r="H21" s="45"/>
      <c r="I21" s="45"/>
      <c r="J21" s="45"/>
      <c r="K21" s="45"/>
    </row>
    <row r="22" ht="15.75" customHeight="1">
      <c r="A22" s="201"/>
      <c r="B22" s="28"/>
      <c r="C22" s="28"/>
      <c r="D22" s="45"/>
      <c r="E22" s="45"/>
      <c r="F22" s="45"/>
      <c r="G22" s="219"/>
      <c r="H22" s="45"/>
      <c r="I22" s="45"/>
      <c r="J22" s="45"/>
      <c r="K22" s="45"/>
    </row>
    <row r="23" ht="15.75" customHeight="1">
      <c r="A23" s="272" t="s">
        <v>206</v>
      </c>
      <c r="B23" s="211"/>
      <c r="C23" s="211"/>
      <c r="D23" s="213"/>
      <c r="F23" s="45"/>
      <c r="G23" s="219"/>
      <c r="H23" s="45"/>
      <c r="I23" s="45"/>
      <c r="J23" s="45"/>
      <c r="K23" s="45"/>
    </row>
    <row r="24" ht="15.75" customHeight="1">
      <c r="A24" s="274" t="s">
        <v>209</v>
      </c>
      <c r="B24" s="275"/>
      <c r="C24" s="275"/>
      <c r="D24" s="275"/>
      <c r="E24" s="275"/>
      <c r="F24" s="45"/>
      <c r="G24" s="219"/>
      <c r="H24" s="45"/>
      <c r="I24" s="45"/>
      <c r="J24" s="45"/>
      <c r="K24" s="45"/>
    </row>
    <row r="25" ht="15.75" customHeight="1">
      <c r="A25" s="274" t="s">
        <v>210</v>
      </c>
      <c r="B25" s="275"/>
      <c r="C25" s="275"/>
      <c r="D25" s="275"/>
      <c r="E25" s="275"/>
      <c r="F25" s="45"/>
      <c r="G25" s="219"/>
      <c r="H25" s="45"/>
      <c r="I25" s="45"/>
      <c r="J25" s="45"/>
      <c r="K25" s="45"/>
    </row>
    <row r="26" ht="15.75" customHeight="1">
      <c r="A26" s="274" t="s">
        <v>211</v>
      </c>
      <c r="B26" s="275"/>
      <c r="C26" s="275"/>
      <c r="D26" s="275"/>
      <c r="E26" s="275"/>
      <c r="F26" s="45"/>
      <c r="G26" s="219"/>
      <c r="H26" s="45"/>
      <c r="I26" s="45"/>
      <c r="J26" s="45"/>
      <c r="K26" s="45"/>
    </row>
    <row r="27" ht="15.75" customHeight="1">
      <c r="A27" s="277"/>
      <c r="B27" s="278"/>
      <c r="C27" s="278"/>
      <c r="D27" s="278"/>
      <c r="E27" s="278"/>
      <c r="F27" s="252"/>
      <c r="G27" s="243"/>
      <c r="H27" s="45"/>
      <c r="I27" s="45"/>
      <c r="J27" s="45"/>
      <c r="K27" s="45"/>
    </row>
    <row r="28" ht="15.75" customHeight="1">
      <c r="A28" s="79"/>
      <c r="B28" s="118"/>
      <c r="C28" s="120"/>
      <c r="D28" s="121"/>
      <c r="E28" s="121"/>
      <c r="F28" s="45"/>
      <c r="G28" s="45"/>
      <c r="H28" s="45"/>
      <c r="I28" s="45"/>
      <c r="J28" s="45"/>
      <c r="K28" s="45"/>
    </row>
    <row r="29" ht="15.75" customHeight="1">
      <c r="A29" s="28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0">
    <mergeCell ref="A21:C21"/>
    <mergeCell ref="D23:E23"/>
    <mergeCell ref="A29:C29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255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2" t="s">
        <v>174</v>
      </c>
      <c r="E3" s="226"/>
      <c r="F3" s="4"/>
      <c r="G3" s="4"/>
      <c r="H3" s="4"/>
      <c r="I3" s="4"/>
      <c r="J3" s="4"/>
      <c r="K3" s="4"/>
    </row>
    <row r="4" ht="18.0" customHeight="1">
      <c r="A4" s="224" t="s">
        <v>177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103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176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01" t="s">
        <v>181</v>
      </c>
      <c r="B7" s="28"/>
      <c r="C7" s="28"/>
      <c r="D7" s="21"/>
      <c r="E7" s="226"/>
      <c r="F7" s="25"/>
      <c r="G7" s="25"/>
      <c r="H7" s="25"/>
      <c r="I7" s="25"/>
      <c r="J7" s="25"/>
      <c r="K7" s="25"/>
    </row>
    <row r="8">
      <c r="A8" s="208" t="s">
        <v>12</v>
      </c>
      <c r="B8" s="211" t="s">
        <v>16</v>
      </c>
      <c r="C8" s="211" t="s">
        <v>20</v>
      </c>
      <c r="D8" s="213" t="s">
        <v>22</v>
      </c>
      <c r="E8" s="235"/>
      <c r="F8" s="45"/>
      <c r="G8" s="45"/>
      <c r="H8" s="45"/>
      <c r="I8" s="45"/>
      <c r="J8" s="45"/>
      <c r="K8" s="45"/>
    </row>
    <row r="9">
      <c r="A9" s="83" t="s">
        <v>186</v>
      </c>
      <c r="B9" s="65">
        <v>25.0</v>
      </c>
      <c r="C9" s="74" t="s">
        <v>25</v>
      </c>
      <c r="D9" s="69"/>
      <c r="E9" s="235"/>
      <c r="F9" s="45"/>
      <c r="G9" s="45"/>
      <c r="H9" s="45"/>
      <c r="I9" s="45"/>
      <c r="J9" s="45"/>
      <c r="K9" s="45"/>
    </row>
    <row r="10">
      <c r="A10" s="83" t="s">
        <v>189</v>
      </c>
      <c r="B10" s="65">
        <v>25.0</v>
      </c>
      <c r="C10" s="74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190</v>
      </c>
      <c r="B11" s="65">
        <v>25.0</v>
      </c>
      <c r="C11" s="74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 t="s">
        <v>192</v>
      </c>
      <c r="B12" s="65">
        <v>25.0</v>
      </c>
      <c r="C12" s="74" t="s">
        <v>25</v>
      </c>
      <c r="D12" s="69"/>
      <c r="E12" s="240"/>
      <c r="F12" s="45"/>
      <c r="G12" s="45"/>
      <c r="H12" s="45"/>
      <c r="I12" s="45"/>
      <c r="J12" s="45"/>
      <c r="K12" s="45"/>
    </row>
    <row r="13">
      <c r="A13" s="225"/>
      <c r="B13" s="5"/>
      <c r="C13" s="67"/>
      <c r="D13" s="69"/>
      <c r="E13" s="245"/>
      <c r="F13" s="45"/>
      <c r="G13" s="45"/>
      <c r="H13" s="45"/>
      <c r="I13" s="45"/>
      <c r="J13" s="45"/>
      <c r="K13" s="45"/>
    </row>
    <row r="14">
      <c r="A14" s="230" t="s">
        <v>48</v>
      </c>
      <c r="B14" s="86"/>
      <c r="C14" s="86"/>
      <c r="D14" s="87"/>
      <c r="E14" s="231"/>
      <c r="F14" s="45"/>
      <c r="G14" s="45"/>
      <c r="H14" s="45"/>
      <c r="I14" s="45"/>
      <c r="J14" s="45"/>
      <c r="K14" s="45"/>
    </row>
    <row r="15">
      <c r="A15" s="83" t="s">
        <v>199</v>
      </c>
      <c r="B15" s="94"/>
      <c r="C15" s="94"/>
      <c r="D15" s="94"/>
      <c r="E15" s="248"/>
      <c r="F15" s="45"/>
      <c r="G15" s="45"/>
      <c r="H15" s="45"/>
      <c r="I15" s="45"/>
      <c r="J15" s="45"/>
      <c r="K15" s="45"/>
    </row>
    <row r="16">
      <c r="A16" s="83" t="s">
        <v>202</v>
      </c>
      <c r="B16" s="94"/>
      <c r="C16" s="94"/>
      <c r="D16" s="94"/>
      <c r="E16" s="248"/>
      <c r="F16" s="45"/>
      <c r="G16" s="45"/>
      <c r="H16" s="45"/>
      <c r="I16" s="45"/>
      <c r="J16" s="45"/>
      <c r="K16" s="45"/>
    </row>
    <row r="17">
      <c r="A17" s="83" t="s">
        <v>204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 ht="15.75" customHeight="1">
      <c r="A18" s="83" t="s">
        <v>207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 ht="15.75" customHeight="1">
      <c r="A19" s="273" t="s">
        <v>208</v>
      </c>
      <c r="D19" s="45"/>
      <c r="E19" s="219"/>
      <c r="F19" s="45"/>
      <c r="G19" s="45"/>
      <c r="H19" s="45"/>
      <c r="I19" s="45"/>
      <c r="J19" s="45"/>
      <c r="K19" s="45"/>
    </row>
    <row r="20" ht="15.75" customHeight="1">
      <c r="A20" s="201"/>
      <c r="B20" s="28"/>
      <c r="C20" s="28"/>
      <c r="D20" s="45"/>
      <c r="E20" s="219"/>
      <c r="F20" s="45"/>
      <c r="G20" s="45"/>
      <c r="H20" s="45"/>
      <c r="I20" s="45"/>
      <c r="J20" s="45"/>
      <c r="K20" s="45"/>
    </row>
    <row r="21" ht="15.75" customHeight="1">
      <c r="A21" s="272" t="s">
        <v>212</v>
      </c>
      <c r="B21" s="211"/>
      <c r="C21" s="211"/>
      <c r="D21" s="213"/>
      <c r="E21" s="235"/>
      <c r="F21" s="45"/>
      <c r="G21" s="45"/>
      <c r="H21" s="45"/>
      <c r="I21" s="45"/>
      <c r="J21" s="45"/>
      <c r="K21" s="45"/>
    </row>
    <row r="22" ht="15.75" customHeight="1">
      <c r="A22" s="83" t="s">
        <v>213</v>
      </c>
      <c r="B22" s="215"/>
      <c r="C22" s="217"/>
      <c r="D22" s="69"/>
      <c r="E22" s="235"/>
      <c r="F22" s="45"/>
      <c r="G22" s="45"/>
      <c r="H22" s="45"/>
      <c r="I22" s="45"/>
      <c r="J22" s="45"/>
      <c r="K22" s="45"/>
    </row>
    <row r="23" ht="15.75" customHeight="1">
      <c r="A23" s="274" t="s">
        <v>215</v>
      </c>
      <c r="B23" s="215"/>
      <c r="C23" s="217"/>
      <c r="D23" s="217"/>
      <c r="E23" s="245"/>
      <c r="F23" s="45"/>
      <c r="G23" s="45"/>
      <c r="H23" s="45"/>
      <c r="I23" s="45"/>
      <c r="J23" s="45"/>
      <c r="K23" s="45"/>
    </row>
    <row r="24" ht="15.75" customHeight="1">
      <c r="A24" s="281"/>
      <c r="B24" s="282"/>
      <c r="C24" s="284"/>
      <c r="D24" s="285"/>
      <c r="E24" s="286"/>
      <c r="F24" s="45"/>
      <c r="G24" s="45"/>
      <c r="H24" s="45"/>
      <c r="I24" s="45"/>
      <c r="J24" s="45"/>
      <c r="K24" s="45"/>
    </row>
    <row r="25" ht="15.75" customHeight="1">
      <c r="A25" s="94"/>
      <c r="B25" s="215"/>
      <c r="C25" s="217"/>
      <c r="D25" s="69"/>
      <c r="E25" s="69"/>
      <c r="F25" s="45"/>
      <c r="G25" s="45"/>
      <c r="H25" s="45"/>
      <c r="I25" s="45"/>
      <c r="J25" s="45"/>
      <c r="K25" s="45"/>
    </row>
    <row r="26" ht="15.75" customHeight="1">
      <c r="A26" s="94"/>
      <c r="B26" s="215"/>
      <c r="C26" s="217"/>
      <c r="D26" s="69"/>
      <c r="E26" s="69"/>
      <c r="F26" s="45"/>
      <c r="G26" s="45"/>
      <c r="H26" s="45"/>
      <c r="I26" s="45"/>
      <c r="J26" s="45"/>
      <c r="K26" s="45"/>
    </row>
    <row r="27" ht="15.75" customHeight="1">
      <c r="A27" s="94"/>
      <c r="B27" s="215"/>
      <c r="C27" s="217"/>
      <c r="D27" s="69"/>
      <c r="E27" s="69"/>
      <c r="F27" s="45"/>
      <c r="G27" s="45"/>
      <c r="H27" s="45"/>
      <c r="I27" s="45"/>
      <c r="J27" s="45"/>
      <c r="K27" s="45"/>
    </row>
    <row r="28" ht="15.75" customHeight="1">
      <c r="A28" s="94"/>
      <c r="B28" s="215"/>
      <c r="C28" s="217"/>
      <c r="D28" s="69"/>
      <c r="E28" s="266"/>
      <c r="F28" s="45"/>
      <c r="G28" s="45"/>
      <c r="H28" s="45"/>
      <c r="I28" s="45"/>
      <c r="J28" s="45"/>
      <c r="K28" s="45"/>
    </row>
    <row r="29" ht="15.75" customHeight="1">
      <c r="A29" s="94"/>
      <c r="B29" s="215"/>
      <c r="C29" s="217"/>
      <c r="D29" s="69"/>
      <c r="E29" s="69"/>
      <c r="F29" s="45"/>
      <c r="G29" s="45"/>
      <c r="H29" s="45"/>
      <c r="I29" s="45"/>
      <c r="J29" s="45"/>
      <c r="K29" s="45"/>
    </row>
    <row r="30" ht="15.75" customHeight="1">
      <c r="A30" s="94"/>
      <c r="B30" s="227"/>
      <c r="C30" s="217"/>
      <c r="D30" s="69"/>
      <c r="E30" s="266"/>
      <c r="F30" s="45"/>
      <c r="G30" s="45"/>
      <c r="H30" s="45"/>
      <c r="I30" s="45"/>
      <c r="J30" s="45"/>
      <c r="K30" s="45"/>
    </row>
    <row r="31" ht="15.75" customHeight="1">
      <c r="A31" s="94"/>
      <c r="B31" s="215"/>
      <c r="C31" s="217"/>
      <c r="D31" s="69"/>
      <c r="E31" s="69"/>
      <c r="F31" s="45"/>
      <c r="G31" s="45"/>
      <c r="H31" s="45"/>
      <c r="I31" s="45"/>
      <c r="J31" s="45"/>
      <c r="K31" s="45"/>
    </row>
    <row r="32" ht="15.75" customHeight="1">
      <c r="A32" s="85"/>
      <c r="B32" s="121"/>
      <c r="C32" s="127"/>
      <c r="D32" s="69"/>
      <c r="E32" s="69"/>
      <c r="F32" s="45"/>
      <c r="G32" s="45"/>
      <c r="H32" s="45"/>
      <c r="I32" s="45"/>
      <c r="J32" s="45"/>
      <c r="K32" s="45"/>
    </row>
    <row r="33" ht="15.75" customHeight="1">
      <c r="A33" s="85"/>
      <c r="B33" s="121"/>
      <c r="C33" s="127"/>
      <c r="D33" s="69"/>
      <c r="E33" s="69"/>
      <c r="F33" s="45"/>
      <c r="G33" s="45"/>
      <c r="H33" s="45"/>
      <c r="I33" s="45"/>
      <c r="J33" s="45"/>
      <c r="K33" s="45"/>
    </row>
    <row r="34" ht="15.75" customHeight="1">
      <c r="A34" s="84" t="s">
        <v>62</v>
      </c>
      <c r="B34" s="232"/>
      <c r="C34" s="234"/>
      <c r="D34" s="87"/>
      <c r="E34" s="87"/>
      <c r="F34" s="45"/>
      <c r="G34" s="45"/>
      <c r="H34" s="45"/>
      <c r="I34" s="45"/>
      <c r="J34" s="45"/>
      <c r="K34" s="45"/>
    </row>
    <row r="35" ht="15.75" customHeight="1">
      <c r="A35" s="84" t="s">
        <v>64</v>
      </c>
      <c r="B35" s="237"/>
      <c r="C35" s="238"/>
      <c r="D35" s="87"/>
      <c r="E35" s="87"/>
      <c r="F35" s="45"/>
      <c r="G35" s="45"/>
      <c r="H35" s="45"/>
      <c r="I35" s="45"/>
      <c r="J35" s="45"/>
      <c r="K35" s="45"/>
    </row>
    <row r="36" ht="15.75" customHeight="1">
      <c r="A36" s="94"/>
      <c r="B36" s="118"/>
      <c r="C36" s="120"/>
      <c r="D36" s="121"/>
      <c r="E36" s="121"/>
      <c r="F36" s="45"/>
      <c r="G36" s="45"/>
      <c r="H36" s="45"/>
      <c r="I36" s="45"/>
      <c r="J36" s="45"/>
      <c r="K36" s="45"/>
    </row>
    <row r="37" ht="15.75" customHeight="1">
      <c r="A37" s="94"/>
      <c r="B37" s="118"/>
      <c r="C37" s="120"/>
      <c r="D37" s="121"/>
      <c r="E37" s="121"/>
      <c r="F37" s="45"/>
      <c r="G37" s="45"/>
      <c r="H37" s="45"/>
      <c r="I37" s="45"/>
      <c r="J37" s="45"/>
      <c r="K37" s="45"/>
    </row>
    <row r="38" ht="15.75" customHeight="1">
      <c r="A38" s="94"/>
      <c r="B38" s="118"/>
      <c r="C38" s="120"/>
      <c r="D38" s="121"/>
      <c r="E38" s="121"/>
      <c r="F38" s="45"/>
      <c r="G38" s="45"/>
      <c r="H38" s="45"/>
      <c r="I38" s="45"/>
      <c r="J38" s="45"/>
      <c r="K38" s="45"/>
    </row>
    <row r="39" ht="15.75" customHeight="1">
      <c r="A39" s="94"/>
      <c r="B39" s="118"/>
      <c r="C39" s="120"/>
      <c r="D39" s="121"/>
      <c r="E39" s="121"/>
      <c r="F39" s="45"/>
      <c r="G39" s="45"/>
      <c r="H39" s="45"/>
      <c r="I39" s="45"/>
      <c r="J39" s="45"/>
      <c r="K39" s="45"/>
    </row>
    <row r="40" ht="15.75" customHeight="1">
      <c r="A40" s="94"/>
      <c r="B40" s="118"/>
      <c r="C40" s="120"/>
      <c r="D40" s="121"/>
      <c r="E40" s="121"/>
      <c r="F40" s="45"/>
      <c r="G40" s="45"/>
      <c r="H40" s="45"/>
      <c r="I40" s="45"/>
      <c r="J40" s="45"/>
      <c r="K40" s="45"/>
    </row>
    <row r="41" ht="15.75" customHeight="1">
      <c r="A41" s="94"/>
      <c r="B41" s="118"/>
      <c r="C41" s="120"/>
      <c r="D41" s="121"/>
      <c r="E41" s="121"/>
      <c r="F41" s="45"/>
      <c r="G41" s="45"/>
      <c r="H41" s="45"/>
      <c r="I41" s="45"/>
      <c r="J41" s="45"/>
      <c r="K41" s="45"/>
    </row>
    <row r="42" ht="15.75" customHeight="1">
      <c r="A42" s="79"/>
      <c r="B42" s="118"/>
      <c r="C42" s="120"/>
      <c r="D42" s="121"/>
      <c r="E42" s="121"/>
      <c r="F42" s="45"/>
      <c r="G42" s="45"/>
      <c r="H42" s="45"/>
      <c r="I42" s="45"/>
      <c r="J42" s="45"/>
      <c r="K42" s="45"/>
    </row>
    <row r="43" ht="15.75" customHeight="1">
      <c r="A43" s="28"/>
      <c r="D43" s="121"/>
      <c r="E43" s="121"/>
      <c r="F43" s="45"/>
      <c r="G43" s="45"/>
      <c r="H43" s="45"/>
      <c r="I43" s="45"/>
      <c r="J43" s="45"/>
      <c r="K43" s="4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mergeCells count="10">
    <mergeCell ref="D21:E21"/>
    <mergeCell ref="D22:E22"/>
    <mergeCell ref="A43:C43"/>
    <mergeCell ref="A3:D3"/>
    <mergeCell ref="A5:C5"/>
    <mergeCell ref="D8:E8"/>
    <mergeCell ref="D9:E9"/>
    <mergeCell ref="D10:E10"/>
    <mergeCell ref="D11:E11"/>
    <mergeCell ref="A19:C19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255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3" t="s">
        <v>175</v>
      </c>
      <c r="B3" s="12"/>
      <c r="C3" s="12"/>
      <c r="D3" s="12"/>
      <c r="E3" s="264"/>
      <c r="F3" s="4"/>
      <c r="G3" s="4"/>
      <c r="H3" s="4"/>
      <c r="I3" s="4"/>
      <c r="J3" s="4"/>
      <c r="K3" s="4"/>
    </row>
    <row r="4" ht="18.0" customHeight="1">
      <c r="A4" s="224" t="s">
        <v>179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180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176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65" t="s">
        <v>183</v>
      </c>
      <c r="B7" s="37"/>
      <c r="C7" s="37"/>
      <c r="D7" s="179"/>
      <c r="E7" s="267"/>
      <c r="F7" s="25"/>
      <c r="G7" s="25"/>
      <c r="H7" s="25"/>
      <c r="I7" s="25"/>
      <c r="J7" s="25"/>
      <c r="K7" s="25"/>
    </row>
    <row r="8">
      <c r="A8" s="268" t="s">
        <v>12</v>
      </c>
      <c r="B8" s="182" t="s">
        <v>16</v>
      </c>
      <c r="C8" s="182" t="s">
        <v>20</v>
      </c>
      <c r="D8" s="183" t="s">
        <v>22</v>
      </c>
      <c r="E8" s="235"/>
      <c r="F8" s="45"/>
      <c r="G8" s="45"/>
      <c r="H8" s="45"/>
      <c r="I8" s="45"/>
      <c r="J8" s="45"/>
      <c r="K8" s="45"/>
    </row>
    <row r="9">
      <c r="A9" s="269" t="s">
        <v>193</v>
      </c>
      <c r="B9" s="59">
        <v>50.0</v>
      </c>
      <c r="C9" s="218" t="s">
        <v>25</v>
      </c>
      <c r="D9" s="62"/>
      <c r="E9" s="270"/>
      <c r="F9" s="45"/>
      <c r="G9" s="45"/>
      <c r="H9" s="45"/>
      <c r="I9" s="45"/>
      <c r="J9" s="45"/>
      <c r="K9" s="45"/>
    </row>
    <row r="10">
      <c r="A10" s="83" t="s">
        <v>196</v>
      </c>
      <c r="B10" s="65">
        <v>20.0</v>
      </c>
      <c r="C10" s="74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41</v>
      </c>
      <c r="B11" s="65">
        <v>20.0</v>
      </c>
      <c r="C11" s="74" t="s">
        <v>25</v>
      </c>
      <c r="D11" s="266" t="s">
        <v>203</v>
      </c>
      <c r="E11" s="235"/>
      <c r="F11" s="45"/>
      <c r="G11" s="45"/>
      <c r="H11" s="45"/>
      <c r="I11" s="45"/>
      <c r="J11" s="45"/>
      <c r="K11" s="45"/>
    </row>
    <row r="12">
      <c r="A12" s="83"/>
      <c r="B12" s="65"/>
      <c r="C12" s="74"/>
      <c r="D12" s="69"/>
      <c r="E12" s="240"/>
      <c r="F12" s="45"/>
      <c r="G12" s="45"/>
      <c r="H12" s="45"/>
      <c r="I12" s="45"/>
      <c r="J12" s="45"/>
      <c r="K12" s="45"/>
    </row>
    <row r="13">
      <c r="A13" s="225"/>
      <c r="B13" s="5"/>
      <c r="C13" s="67"/>
      <c r="D13" s="69"/>
      <c r="E13" s="235"/>
      <c r="F13" s="45"/>
      <c r="G13" s="45"/>
      <c r="H13" s="45"/>
      <c r="I13" s="45"/>
      <c r="J13" s="45"/>
      <c r="K13" s="45"/>
    </row>
    <row r="14">
      <c r="A14" s="225"/>
      <c r="B14" s="5"/>
      <c r="C14" s="67"/>
      <c r="D14" s="69"/>
      <c r="E14" s="245"/>
      <c r="F14" s="45"/>
      <c r="G14" s="45"/>
      <c r="H14" s="45"/>
      <c r="I14" s="45"/>
      <c r="J14" s="45"/>
      <c r="K14" s="45"/>
    </row>
    <row r="15">
      <c r="A15" s="276"/>
      <c r="B15" s="78"/>
      <c r="C15" s="80"/>
      <c r="D15" s="81"/>
      <c r="E15" s="279"/>
      <c r="F15" s="45"/>
      <c r="G15" s="45"/>
      <c r="H15" s="45"/>
      <c r="I15" s="45"/>
      <c r="J15" s="45"/>
      <c r="K15" s="45"/>
    </row>
    <row r="16">
      <c r="A16" s="280" t="s">
        <v>48</v>
      </c>
      <c r="B16" s="195"/>
      <c r="C16" s="195"/>
      <c r="D16" s="197"/>
      <c r="E16" s="283"/>
      <c r="F16" s="45"/>
      <c r="G16" s="45"/>
      <c r="H16" s="45"/>
      <c r="I16" s="45"/>
      <c r="J16" s="45"/>
      <c r="K16" s="45"/>
    </row>
    <row r="17">
      <c r="A17" s="269" t="s">
        <v>216</v>
      </c>
      <c r="B17" s="88"/>
      <c r="C17" s="88"/>
      <c r="D17" s="88"/>
      <c r="E17" s="287"/>
      <c r="F17" s="45"/>
      <c r="G17" s="45"/>
      <c r="H17" s="45"/>
      <c r="I17" s="45"/>
      <c r="J17" s="45"/>
      <c r="K17" s="45"/>
    </row>
    <row r="18">
      <c r="A18" s="83" t="s">
        <v>218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>
      <c r="A19" s="83" t="s">
        <v>219</v>
      </c>
      <c r="B19" s="94"/>
      <c r="C19" s="94"/>
      <c r="D19" s="94"/>
      <c r="E19" s="248"/>
      <c r="F19" s="45"/>
      <c r="G19" s="45"/>
      <c r="H19" s="45"/>
      <c r="I19" s="45"/>
      <c r="J19" s="45"/>
      <c r="K19" s="45"/>
    </row>
    <row r="20" ht="15.75" customHeight="1">
      <c r="A20" s="83" t="s">
        <v>220</v>
      </c>
      <c r="B20" s="94"/>
      <c r="C20" s="94"/>
      <c r="D20" s="94"/>
      <c r="E20" s="248"/>
      <c r="F20" s="45"/>
      <c r="G20" s="45"/>
      <c r="H20" s="45"/>
      <c r="I20" s="45"/>
      <c r="J20" s="45"/>
      <c r="K20" s="45"/>
    </row>
    <row r="21" ht="15.75" customHeight="1">
      <c r="A21" s="273" t="s">
        <v>222</v>
      </c>
      <c r="D21" s="45"/>
      <c r="E21" s="219"/>
      <c r="F21" s="45"/>
      <c r="G21" s="45"/>
      <c r="H21" s="45"/>
      <c r="I21" s="45"/>
      <c r="J21" s="45"/>
      <c r="K21" s="45"/>
    </row>
    <row r="22" ht="15.75" customHeight="1">
      <c r="A22" s="98" t="s">
        <v>224</v>
      </c>
      <c r="B22" s="123"/>
      <c r="C22" s="123"/>
      <c r="D22" s="45"/>
      <c r="E22" s="219"/>
      <c r="F22" s="45"/>
      <c r="G22" s="45"/>
      <c r="H22" s="45"/>
      <c r="I22" s="45"/>
      <c r="J22" s="45"/>
      <c r="K22" s="45"/>
    </row>
    <row r="23" ht="15.75" customHeight="1">
      <c r="A23" s="265"/>
      <c r="B23" s="37"/>
      <c r="C23" s="37"/>
      <c r="D23" s="206"/>
      <c r="E23" s="289"/>
      <c r="F23" s="45"/>
      <c r="G23" s="45"/>
      <c r="H23" s="45"/>
      <c r="I23" s="45"/>
      <c r="J23" s="45"/>
      <c r="K23" s="45"/>
    </row>
    <row r="24" ht="15.75" customHeight="1">
      <c r="A24" s="290" t="s">
        <v>227</v>
      </c>
      <c r="B24" s="182" t="s">
        <v>16</v>
      </c>
      <c r="C24" s="182" t="s">
        <v>20</v>
      </c>
      <c r="D24" s="183" t="s">
        <v>22</v>
      </c>
      <c r="E24" s="235"/>
      <c r="F24" s="45"/>
      <c r="G24" s="45"/>
      <c r="H24" s="45"/>
      <c r="I24" s="45"/>
      <c r="J24" s="45"/>
      <c r="K24" s="45"/>
    </row>
    <row r="25" ht="15.75" customHeight="1">
      <c r="A25" s="269" t="s">
        <v>229</v>
      </c>
      <c r="B25" s="210"/>
      <c r="C25" s="217"/>
      <c r="D25" s="217"/>
      <c r="E25" s="292"/>
      <c r="F25" s="45"/>
      <c r="G25" s="45"/>
      <c r="H25" s="45"/>
      <c r="I25" s="45"/>
      <c r="J25" s="45"/>
      <c r="K25" s="45"/>
    </row>
    <row r="26" ht="15.75" customHeight="1">
      <c r="A26" s="83" t="s">
        <v>230</v>
      </c>
      <c r="B26" s="215"/>
      <c r="C26" s="217"/>
      <c r="D26" s="217"/>
      <c r="E26" s="292"/>
      <c r="F26" s="45"/>
      <c r="G26" s="45"/>
      <c r="H26" s="45"/>
      <c r="I26" s="45"/>
      <c r="J26" s="45"/>
      <c r="K26" s="45"/>
    </row>
    <row r="27" ht="15.75" customHeight="1">
      <c r="A27" s="83" t="s">
        <v>231</v>
      </c>
      <c r="B27" s="215"/>
      <c r="C27" s="217"/>
      <c r="D27" s="217"/>
      <c r="E27" s="292"/>
      <c r="F27" s="45"/>
      <c r="G27" s="45"/>
      <c r="H27" s="45"/>
      <c r="I27" s="45"/>
      <c r="J27" s="45"/>
      <c r="K27" s="45"/>
    </row>
    <row r="28" ht="15.75" customHeight="1">
      <c r="A28" s="83"/>
      <c r="B28" s="215"/>
      <c r="C28" s="217"/>
      <c r="D28" s="217"/>
      <c r="E28" s="292"/>
      <c r="F28" s="45"/>
      <c r="G28" s="45"/>
      <c r="H28" s="45"/>
      <c r="I28" s="45"/>
      <c r="J28" s="45"/>
      <c r="K28" s="45"/>
    </row>
    <row r="29" ht="15.75" customHeight="1">
      <c r="A29" s="281"/>
      <c r="B29" s="293"/>
      <c r="C29" s="294"/>
      <c r="D29" s="295"/>
      <c r="E29" s="296"/>
      <c r="F29" s="45"/>
      <c r="G29" s="45"/>
      <c r="H29" s="45"/>
      <c r="I29" s="45"/>
      <c r="J29" s="45"/>
      <c r="K29" s="45"/>
    </row>
    <row r="30" ht="15.75" customHeight="1">
      <c r="A30" s="94"/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94"/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94"/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94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94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79"/>
      <c r="B35" s="118"/>
      <c r="C35" s="120"/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28"/>
      <c r="D36" s="121"/>
      <c r="E36" s="121"/>
      <c r="F36" s="45"/>
      <c r="G36" s="45"/>
      <c r="H36" s="45"/>
      <c r="I36" s="45"/>
      <c r="J36" s="45"/>
      <c r="K36" s="4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10">
    <mergeCell ref="A21:C21"/>
    <mergeCell ref="D24:E24"/>
    <mergeCell ref="A36:C36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255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3" t="s">
        <v>188</v>
      </c>
      <c r="B3" s="12"/>
      <c r="C3" s="12"/>
      <c r="D3" s="12"/>
      <c r="E3" s="264"/>
      <c r="F3" s="4"/>
      <c r="G3" s="4"/>
      <c r="H3" s="4"/>
      <c r="I3" s="4"/>
      <c r="J3" s="4"/>
      <c r="K3" s="4"/>
    </row>
    <row r="4" ht="18.0" customHeight="1">
      <c r="A4" s="224" t="s">
        <v>191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194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176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65" t="s">
        <v>108</v>
      </c>
      <c r="B7" s="37"/>
      <c r="C7" s="37"/>
      <c r="D7" s="179"/>
      <c r="E7" s="267"/>
      <c r="F7" s="25"/>
      <c r="G7" s="25"/>
      <c r="H7" s="25"/>
      <c r="I7" s="25"/>
      <c r="J7" s="25"/>
      <c r="K7" s="25"/>
    </row>
    <row r="8">
      <c r="A8" s="268" t="s">
        <v>12</v>
      </c>
      <c r="B8" s="182" t="s">
        <v>16</v>
      </c>
      <c r="C8" s="182" t="s">
        <v>20</v>
      </c>
      <c r="D8" s="183" t="s">
        <v>22</v>
      </c>
      <c r="E8" s="235"/>
      <c r="F8" s="45"/>
      <c r="G8" s="45"/>
      <c r="H8" s="45"/>
      <c r="I8" s="45"/>
      <c r="J8" s="45"/>
      <c r="K8" s="45"/>
    </row>
    <row r="9">
      <c r="A9" s="269" t="s">
        <v>205</v>
      </c>
      <c r="B9" s="59">
        <v>50.0</v>
      </c>
      <c r="C9" s="218" t="s">
        <v>25</v>
      </c>
      <c r="D9" s="62"/>
      <c r="E9" s="270"/>
      <c r="F9" s="45"/>
      <c r="G9" s="45"/>
      <c r="H9" s="45"/>
      <c r="I9" s="45"/>
      <c r="J9" s="45"/>
      <c r="K9" s="45"/>
    </row>
    <row r="10">
      <c r="A10" s="83" t="s">
        <v>41</v>
      </c>
      <c r="B10" s="65">
        <v>25.0</v>
      </c>
      <c r="C10" s="74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117</v>
      </c>
      <c r="B11" s="65">
        <v>20.0</v>
      </c>
      <c r="C11" s="74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 t="s">
        <v>214</v>
      </c>
      <c r="B12" s="65">
        <v>3.0</v>
      </c>
      <c r="C12" s="74" t="s">
        <v>45</v>
      </c>
      <c r="D12" s="69"/>
      <c r="E12" s="240"/>
      <c r="F12" s="45"/>
      <c r="G12" s="45"/>
      <c r="H12" s="45"/>
      <c r="I12" s="45"/>
      <c r="J12" s="45"/>
      <c r="K12" s="45"/>
    </row>
    <row r="13">
      <c r="A13" s="225"/>
      <c r="B13" s="5"/>
      <c r="C13" s="67"/>
      <c r="D13" s="69"/>
      <c r="E13" s="235"/>
      <c r="F13" s="45"/>
      <c r="G13" s="45"/>
      <c r="H13" s="45"/>
      <c r="I13" s="45"/>
      <c r="J13" s="45"/>
      <c r="K13" s="45"/>
    </row>
    <row r="14">
      <c r="A14" s="280" t="s">
        <v>48</v>
      </c>
      <c r="B14" s="195"/>
      <c r="C14" s="195"/>
      <c r="D14" s="197"/>
      <c r="E14" s="283"/>
      <c r="F14" s="45"/>
      <c r="G14" s="45"/>
      <c r="H14" s="45"/>
      <c r="I14" s="45"/>
      <c r="J14" s="45"/>
      <c r="K14" s="45"/>
    </row>
    <row r="15">
      <c r="A15" s="288" t="s">
        <v>217</v>
      </c>
      <c r="B15" s="88"/>
      <c r="C15" s="88"/>
      <c r="D15" s="88"/>
      <c r="E15" s="287"/>
      <c r="F15" s="45"/>
      <c r="G15" s="45"/>
      <c r="H15" s="45"/>
      <c r="I15" s="45"/>
      <c r="J15" s="45"/>
      <c r="K15" s="45"/>
    </row>
    <row r="16">
      <c r="A16" s="83" t="s">
        <v>221</v>
      </c>
      <c r="B16" s="94"/>
      <c r="C16" s="94"/>
      <c r="D16" s="94"/>
      <c r="E16" s="248"/>
      <c r="F16" s="45"/>
      <c r="G16" s="45"/>
      <c r="H16" s="45"/>
      <c r="I16" s="45"/>
      <c r="J16" s="45"/>
      <c r="K16" s="45"/>
    </row>
    <row r="17">
      <c r="A17" s="83" t="s">
        <v>223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 ht="15.75" customHeight="1">
      <c r="A18" s="83" t="s">
        <v>225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 ht="15.75" customHeight="1">
      <c r="A19" s="273" t="s">
        <v>226</v>
      </c>
      <c r="D19" s="45"/>
      <c r="E19" s="219"/>
      <c r="F19" s="45"/>
      <c r="G19" s="45"/>
      <c r="H19" s="45"/>
      <c r="I19" s="45"/>
      <c r="J19" s="45"/>
      <c r="K19" s="45"/>
    </row>
    <row r="20" ht="15.75" customHeight="1">
      <c r="A20" s="291" t="s">
        <v>228</v>
      </c>
      <c r="B20" s="37"/>
      <c r="C20" s="37"/>
      <c r="D20" s="206"/>
      <c r="E20" s="289"/>
      <c r="F20" s="45"/>
      <c r="G20" s="45"/>
      <c r="H20" s="45"/>
      <c r="I20" s="45"/>
      <c r="J20" s="45"/>
      <c r="K20" s="45"/>
    </row>
    <row r="21" ht="15.75" customHeight="1">
      <c r="A21" s="201"/>
      <c r="B21" s="28"/>
      <c r="C21" s="28"/>
      <c r="D21" s="45"/>
      <c r="E21" s="219"/>
      <c r="F21" s="45"/>
      <c r="G21" s="45"/>
      <c r="H21" s="45"/>
      <c r="I21" s="45"/>
      <c r="J21" s="45"/>
      <c r="K21" s="45"/>
    </row>
    <row r="22" ht="15.75" customHeight="1">
      <c r="A22" s="290" t="s">
        <v>227</v>
      </c>
      <c r="B22" s="182" t="s">
        <v>16</v>
      </c>
      <c r="C22" s="182" t="s">
        <v>20</v>
      </c>
      <c r="D22" s="183" t="s">
        <v>22</v>
      </c>
      <c r="E22" s="235"/>
      <c r="F22" s="45"/>
      <c r="G22" s="45"/>
      <c r="H22" s="45"/>
      <c r="I22" s="45"/>
      <c r="J22" s="45"/>
      <c r="K22" s="45"/>
    </row>
    <row r="23" ht="15.75" customHeight="1">
      <c r="A23" s="269" t="s">
        <v>232</v>
      </c>
      <c r="B23" s="210"/>
      <c r="C23" s="212"/>
      <c r="D23" s="62"/>
      <c r="E23" s="270"/>
      <c r="F23" s="45"/>
      <c r="G23" s="45"/>
      <c r="H23" s="45"/>
      <c r="I23" s="45"/>
      <c r="J23" s="45"/>
      <c r="K23" s="45"/>
    </row>
    <row r="24" ht="15.75" customHeight="1">
      <c r="A24" s="274" t="s">
        <v>233</v>
      </c>
      <c r="B24" s="215"/>
      <c r="C24" s="217"/>
      <c r="D24" s="217"/>
      <c r="E24" s="292"/>
      <c r="F24" s="45"/>
      <c r="G24" s="45"/>
      <c r="H24" s="45"/>
      <c r="I24" s="45"/>
      <c r="J24" s="45"/>
      <c r="K24" s="45"/>
    </row>
    <row r="25" ht="15.75" customHeight="1">
      <c r="A25" s="83"/>
      <c r="B25" s="215"/>
      <c r="C25" s="217"/>
      <c r="D25" s="69"/>
      <c r="E25" s="245"/>
      <c r="F25" s="45"/>
      <c r="G25" s="45"/>
      <c r="H25" s="45"/>
      <c r="I25" s="45"/>
      <c r="J25" s="45"/>
      <c r="K25" s="45"/>
    </row>
    <row r="26" ht="15.75" customHeight="1">
      <c r="A26" s="281"/>
      <c r="B26" s="293"/>
      <c r="C26" s="294"/>
      <c r="D26" s="295"/>
      <c r="E26" s="296"/>
      <c r="F26" s="45"/>
      <c r="G26" s="45"/>
      <c r="H26" s="45"/>
      <c r="I26" s="45"/>
      <c r="J26" s="45"/>
      <c r="K26" s="45"/>
    </row>
    <row r="27" ht="15.75" customHeight="1">
      <c r="A27" s="94"/>
      <c r="B27" s="118"/>
      <c r="C27" s="120"/>
      <c r="D27" s="121"/>
      <c r="E27" s="121"/>
      <c r="F27" s="45"/>
      <c r="G27" s="45"/>
      <c r="H27" s="45"/>
      <c r="I27" s="45"/>
      <c r="J27" s="45"/>
      <c r="K27" s="45"/>
    </row>
    <row r="28" ht="15.75" customHeight="1">
      <c r="A28" s="94"/>
      <c r="B28" s="118"/>
      <c r="C28" s="120"/>
      <c r="D28" s="121"/>
      <c r="E28" s="121"/>
      <c r="F28" s="45"/>
      <c r="G28" s="45"/>
      <c r="H28" s="45"/>
      <c r="I28" s="45"/>
      <c r="J28" s="45"/>
      <c r="K28" s="45"/>
    </row>
    <row r="29" ht="15.75" customHeight="1">
      <c r="A29" s="94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94"/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94"/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79"/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28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11">
    <mergeCell ref="A19:C19"/>
    <mergeCell ref="D22:E22"/>
    <mergeCell ref="D23:E23"/>
    <mergeCell ref="A33:C33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255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3" t="s">
        <v>234</v>
      </c>
      <c r="B3" s="12"/>
      <c r="C3" s="12"/>
      <c r="D3" s="12"/>
      <c r="E3" s="264"/>
      <c r="F3" s="4"/>
      <c r="G3" s="4"/>
      <c r="H3" s="4"/>
      <c r="I3" s="4"/>
      <c r="J3" s="4"/>
      <c r="K3" s="4"/>
    </row>
    <row r="4" ht="18.0" customHeight="1">
      <c r="A4" s="224" t="s">
        <v>235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236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176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65" t="s">
        <v>108</v>
      </c>
      <c r="B7" s="37"/>
      <c r="C7" s="37"/>
      <c r="D7" s="179"/>
      <c r="E7" s="267"/>
      <c r="F7" s="25"/>
      <c r="G7" s="25"/>
      <c r="H7" s="25"/>
      <c r="I7" s="25"/>
      <c r="J7" s="25"/>
      <c r="K7" s="25"/>
    </row>
    <row r="8">
      <c r="A8" s="268" t="s">
        <v>12</v>
      </c>
      <c r="B8" s="182" t="s">
        <v>16</v>
      </c>
      <c r="C8" s="182" t="s">
        <v>20</v>
      </c>
      <c r="D8" s="183" t="s">
        <v>22</v>
      </c>
      <c r="E8" s="235"/>
      <c r="F8" s="45"/>
      <c r="G8" s="45"/>
      <c r="H8" s="45"/>
      <c r="I8" s="45"/>
      <c r="J8" s="45"/>
      <c r="K8" s="45"/>
    </row>
    <row r="9">
      <c r="A9" s="269" t="s">
        <v>237</v>
      </c>
      <c r="B9" s="59">
        <v>50.0</v>
      </c>
      <c r="C9" s="218" t="s">
        <v>25</v>
      </c>
      <c r="D9" s="62"/>
      <c r="E9" s="270"/>
      <c r="F9" s="45"/>
      <c r="G9" s="45"/>
      <c r="H9" s="45"/>
      <c r="I9" s="45"/>
      <c r="J9" s="45"/>
      <c r="K9" s="45"/>
    </row>
    <row r="10">
      <c r="A10" s="83" t="s">
        <v>238</v>
      </c>
      <c r="B10" s="65">
        <v>25.0</v>
      </c>
      <c r="C10" s="74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119</v>
      </c>
      <c r="B11" s="65">
        <v>20.0</v>
      </c>
      <c r="C11" s="74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 t="s">
        <v>239</v>
      </c>
      <c r="B12" s="65">
        <v>3.0</v>
      </c>
      <c r="C12" s="74" t="s">
        <v>45</v>
      </c>
      <c r="D12" s="69"/>
      <c r="E12" s="240"/>
      <c r="F12" s="45"/>
      <c r="G12" s="45"/>
      <c r="H12" s="45"/>
      <c r="I12" s="45"/>
      <c r="J12" s="45"/>
      <c r="K12" s="45"/>
    </row>
    <row r="13">
      <c r="A13" s="276"/>
      <c r="B13" s="78"/>
      <c r="C13" s="80"/>
      <c r="D13" s="81"/>
      <c r="E13" s="279"/>
      <c r="F13" s="45"/>
      <c r="G13" s="45"/>
      <c r="H13" s="45"/>
      <c r="I13" s="45"/>
      <c r="J13" s="45"/>
      <c r="K13" s="45"/>
    </row>
    <row r="14">
      <c r="A14" s="280" t="s">
        <v>48</v>
      </c>
      <c r="B14" s="195"/>
      <c r="C14" s="195"/>
      <c r="D14" s="197"/>
      <c r="E14" s="283"/>
      <c r="F14" s="45"/>
      <c r="G14" s="45"/>
      <c r="H14" s="45"/>
      <c r="I14" s="45"/>
      <c r="J14" s="45"/>
      <c r="K14" s="45"/>
    </row>
    <row r="15">
      <c r="A15" s="269" t="s">
        <v>243</v>
      </c>
      <c r="B15" s="88"/>
      <c r="C15" s="88"/>
      <c r="D15" s="88"/>
      <c r="E15" s="287"/>
      <c r="F15" s="45"/>
      <c r="G15" s="45"/>
      <c r="H15" s="45"/>
      <c r="I15" s="45"/>
      <c r="J15" s="45"/>
      <c r="K15" s="45"/>
    </row>
    <row r="16">
      <c r="A16" s="83" t="s">
        <v>244</v>
      </c>
      <c r="B16" s="94"/>
      <c r="C16" s="94"/>
      <c r="D16" s="94"/>
      <c r="E16" s="248"/>
      <c r="F16" s="45"/>
      <c r="G16" s="45"/>
      <c r="H16" s="45"/>
      <c r="I16" s="45"/>
      <c r="J16" s="45"/>
      <c r="K16" s="45"/>
    </row>
    <row r="17">
      <c r="A17" s="83" t="s">
        <v>246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>
      <c r="A18" s="83" t="s">
        <v>247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>
      <c r="A19" s="83" t="s">
        <v>248</v>
      </c>
      <c r="B19" s="94"/>
      <c r="C19" s="94"/>
      <c r="D19" s="94"/>
      <c r="E19" s="248"/>
      <c r="F19" s="45"/>
      <c r="G19" s="45"/>
      <c r="H19" s="45"/>
      <c r="I19" s="45"/>
      <c r="J19" s="45"/>
      <c r="K19" s="45"/>
    </row>
    <row r="20" ht="15.75" customHeight="1">
      <c r="A20" s="83" t="s">
        <v>249</v>
      </c>
      <c r="B20" s="94"/>
      <c r="C20" s="94"/>
      <c r="D20" s="94"/>
      <c r="E20" s="248"/>
      <c r="F20" s="45"/>
      <c r="G20" s="45"/>
      <c r="H20" s="45"/>
      <c r="I20" s="45"/>
      <c r="J20" s="45"/>
      <c r="K20" s="45"/>
    </row>
    <row r="21" ht="15.75" customHeight="1">
      <c r="A21" s="290" t="s">
        <v>250</v>
      </c>
      <c r="B21" s="182"/>
      <c r="C21" s="182"/>
      <c r="D21" s="183"/>
      <c r="E21" s="235"/>
      <c r="F21" s="45"/>
      <c r="G21" s="45"/>
      <c r="H21" s="45"/>
      <c r="I21" s="45"/>
      <c r="J21" s="45"/>
      <c r="K21" s="45"/>
    </row>
    <row r="22" ht="15.75" customHeight="1">
      <c r="A22" s="83" t="s">
        <v>251</v>
      </c>
      <c r="B22" s="94"/>
      <c r="C22" s="94"/>
      <c r="D22" s="94"/>
      <c r="E22" s="248"/>
      <c r="F22" s="45"/>
      <c r="G22" s="45"/>
      <c r="H22" s="45"/>
      <c r="I22" s="45"/>
      <c r="J22" s="45"/>
      <c r="K22" s="45"/>
    </row>
    <row r="23" ht="15.75" customHeight="1">
      <c r="A23" s="83" t="s">
        <v>252</v>
      </c>
      <c r="B23" s="215"/>
      <c r="C23" s="217"/>
      <c r="D23" s="69"/>
      <c r="E23" s="235"/>
      <c r="F23" s="45"/>
      <c r="G23" s="45"/>
      <c r="H23" s="45"/>
      <c r="I23" s="45"/>
      <c r="J23" s="45"/>
      <c r="K23" s="45"/>
    </row>
    <row r="24" ht="15.75" customHeight="1">
      <c r="A24" s="83" t="s">
        <v>254</v>
      </c>
      <c r="B24" s="215"/>
      <c r="C24" s="217"/>
      <c r="D24" s="69"/>
      <c r="E24" s="245"/>
      <c r="F24" s="45"/>
      <c r="G24" s="45"/>
      <c r="H24" s="45"/>
      <c r="I24" s="45"/>
      <c r="J24" s="45"/>
      <c r="K24" s="45"/>
    </row>
    <row r="25" ht="15.75" customHeight="1">
      <c r="A25" s="83" t="s">
        <v>255</v>
      </c>
      <c r="B25" s="215"/>
      <c r="C25" s="217"/>
      <c r="D25" s="69"/>
      <c r="E25" s="245"/>
      <c r="F25" s="45"/>
      <c r="G25" s="45"/>
      <c r="H25" s="45"/>
      <c r="I25" s="45"/>
      <c r="J25" s="45"/>
      <c r="K25" s="45"/>
    </row>
    <row r="26" ht="15.75" customHeight="1">
      <c r="A26" s="83"/>
      <c r="B26" s="215"/>
      <c r="C26" s="217"/>
      <c r="D26" s="69"/>
      <c r="E26" s="245"/>
      <c r="F26" s="45"/>
      <c r="G26" s="45"/>
      <c r="H26" s="45"/>
      <c r="I26" s="45"/>
      <c r="J26" s="45"/>
      <c r="K26" s="45"/>
    </row>
    <row r="27" ht="15.75" customHeight="1">
      <c r="A27" s="297"/>
      <c r="B27" s="298"/>
      <c r="C27" s="298"/>
      <c r="D27" s="295"/>
      <c r="E27" s="296"/>
      <c r="F27" s="45"/>
      <c r="G27" s="45"/>
      <c r="H27" s="45"/>
      <c r="I27" s="45"/>
      <c r="J27" s="45"/>
      <c r="K27" s="4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9">
    <mergeCell ref="D23:E23"/>
    <mergeCell ref="A27:C27"/>
    <mergeCell ref="A3:D3"/>
    <mergeCell ref="A5:C5"/>
    <mergeCell ref="D8:E8"/>
    <mergeCell ref="D9:E9"/>
    <mergeCell ref="D10:E10"/>
    <mergeCell ref="D11:E11"/>
    <mergeCell ref="D21:E21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255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186" t="s">
        <v>240</v>
      </c>
      <c r="B3" s="187"/>
      <c r="C3" s="187"/>
      <c r="D3" s="187"/>
      <c r="E3" s="221"/>
      <c r="F3" s="4"/>
      <c r="G3" s="4"/>
      <c r="H3" s="4"/>
      <c r="I3" s="4"/>
      <c r="J3" s="4"/>
      <c r="K3" s="4"/>
    </row>
    <row r="4" ht="18.0" customHeight="1">
      <c r="A4" s="224" t="s">
        <v>241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242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176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65" t="s">
        <v>245</v>
      </c>
      <c r="B7" s="37"/>
      <c r="C7" s="37"/>
      <c r="D7" s="179"/>
      <c r="E7" s="267"/>
      <c r="F7" s="25"/>
      <c r="G7" s="25"/>
      <c r="H7" s="25"/>
      <c r="I7" s="25"/>
      <c r="J7" s="25"/>
      <c r="K7" s="25"/>
    </row>
    <row r="8">
      <c r="A8" s="268" t="s">
        <v>12</v>
      </c>
      <c r="B8" s="182" t="s">
        <v>16</v>
      </c>
      <c r="C8" s="182" t="s">
        <v>20</v>
      </c>
      <c r="D8" s="183" t="s">
        <v>22</v>
      </c>
      <c r="E8" s="235"/>
      <c r="F8" s="45"/>
      <c r="G8" s="45"/>
      <c r="H8" s="45"/>
      <c r="I8" s="45"/>
      <c r="J8" s="45"/>
      <c r="K8" s="45"/>
    </row>
    <row r="9">
      <c r="A9" s="269" t="s">
        <v>186</v>
      </c>
      <c r="B9" s="59">
        <v>60.0</v>
      </c>
      <c r="C9" s="218" t="s">
        <v>25</v>
      </c>
      <c r="D9" s="62"/>
      <c r="E9" s="270"/>
      <c r="F9" s="45"/>
      <c r="G9" s="45"/>
      <c r="H9" s="45"/>
      <c r="I9" s="45"/>
      <c r="J9" s="45"/>
      <c r="K9" s="45"/>
    </row>
    <row r="10">
      <c r="A10" s="83" t="s">
        <v>238</v>
      </c>
      <c r="B10" s="65">
        <v>25.0</v>
      </c>
      <c r="C10" s="74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253</v>
      </c>
      <c r="B11" s="65">
        <v>20.0</v>
      </c>
      <c r="C11" s="74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/>
      <c r="B12" s="65"/>
      <c r="C12" s="74"/>
      <c r="D12" s="69"/>
      <c r="E12" s="240"/>
      <c r="F12" s="45"/>
      <c r="G12" s="45"/>
      <c r="H12" s="45"/>
      <c r="I12" s="45"/>
      <c r="J12" s="45"/>
      <c r="K12" s="45"/>
    </row>
    <row r="13">
      <c r="A13" s="280" t="s">
        <v>48</v>
      </c>
      <c r="B13" s="195"/>
      <c r="C13" s="195"/>
      <c r="D13" s="197"/>
      <c r="E13" s="283"/>
      <c r="F13" s="45"/>
      <c r="G13" s="45"/>
      <c r="H13" s="45"/>
      <c r="I13" s="45"/>
      <c r="J13" s="45"/>
      <c r="K13" s="45"/>
    </row>
    <row r="14">
      <c r="A14" s="269" t="s">
        <v>257</v>
      </c>
      <c r="B14" s="88"/>
      <c r="C14" s="88"/>
      <c r="D14" s="88"/>
      <c r="E14" s="287"/>
      <c r="F14" s="45"/>
      <c r="G14" s="45"/>
      <c r="H14" s="45"/>
      <c r="I14" s="45"/>
      <c r="J14" s="45"/>
      <c r="K14" s="45"/>
    </row>
    <row r="15">
      <c r="A15" s="83" t="s">
        <v>259</v>
      </c>
      <c r="B15" s="94"/>
      <c r="C15" s="94"/>
      <c r="D15" s="94"/>
      <c r="E15" s="248"/>
      <c r="F15" s="45"/>
      <c r="G15" s="45"/>
      <c r="H15" s="45"/>
      <c r="I15" s="45"/>
      <c r="J15" s="45"/>
      <c r="K15" s="45"/>
    </row>
    <row r="16">
      <c r="A16" s="83" t="s">
        <v>260</v>
      </c>
      <c r="B16" s="94"/>
      <c r="C16" s="94"/>
      <c r="D16" s="94"/>
      <c r="E16" s="248"/>
      <c r="F16" s="45"/>
      <c r="G16" s="45"/>
      <c r="H16" s="45"/>
      <c r="I16" s="45"/>
      <c r="J16" s="45"/>
      <c r="K16" s="45"/>
    </row>
    <row r="17" ht="15.75" customHeight="1">
      <c r="A17" s="83" t="s">
        <v>262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 ht="15.75" customHeight="1">
      <c r="A18" s="271" t="s">
        <v>263</v>
      </c>
      <c r="D18" s="45"/>
      <c r="E18" s="219"/>
      <c r="F18" s="45"/>
      <c r="G18" s="45"/>
      <c r="H18" s="45"/>
      <c r="I18" s="45"/>
      <c r="J18" s="45"/>
      <c r="K18" s="45"/>
    </row>
    <row r="19" ht="15.75" customHeight="1">
      <c r="A19" s="291" t="s">
        <v>265</v>
      </c>
      <c r="B19" s="37"/>
      <c r="C19" s="37"/>
      <c r="D19" s="206"/>
      <c r="E19" s="289"/>
      <c r="F19" s="45"/>
      <c r="G19" s="45"/>
      <c r="H19" s="45"/>
      <c r="I19" s="45"/>
      <c r="J19" s="45"/>
      <c r="K19" s="45"/>
    </row>
    <row r="20" ht="15.75" customHeight="1">
      <c r="A20" s="201"/>
      <c r="B20" s="28"/>
      <c r="C20" s="28"/>
      <c r="D20" s="45"/>
      <c r="E20" s="219"/>
      <c r="F20" s="45"/>
      <c r="G20" s="45"/>
      <c r="H20" s="45"/>
      <c r="I20" s="45"/>
      <c r="J20" s="45"/>
      <c r="K20" s="45"/>
    </row>
    <row r="21" ht="15.75" customHeight="1">
      <c r="A21" s="290" t="s">
        <v>267</v>
      </c>
      <c r="B21" s="182"/>
      <c r="C21" s="182"/>
      <c r="D21" s="183"/>
      <c r="E21" s="235"/>
      <c r="F21" s="45"/>
      <c r="G21" s="45"/>
      <c r="H21" s="45"/>
      <c r="I21" s="45"/>
      <c r="J21" s="45"/>
      <c r="K21" s="45"/>
    </row>
    <row r="22" ht="15.75" customHeight="1">
      <c r="A22" s="299" t="s">
        <v>268</v>
      </c>
      <c r="B22" s="210"/>
      <c r="C22" s="212"/>
      <c r="D22" s="212"/>
      <c r="E22" s="300"/>
      <c r="F22" s="45"/>
      <c r="G22" s="45"/>
      <c r="H22" s="45"/>
      <c r="I22" s="45"/>
      <c r="J22" s="45"/>
      <c r="K22" s="45"/>
    </row>
    <row r="23" ht="15.75" customHeight="1">
      <c r="A23" s="83" t="s">
        <v>271</v>
      </c>
      <c r="B23" s="215"/>
      <c r="C23" s="217"/>
      <c r="D23" s="217"/>
      <c r="E23" s="292"/>
      <c r="F23" s="45"/>
      <c r="G23" s="45"/>
      <c r="H23" s="45"/>
      <c r="I23" s="45"/>
      <c r="J23" s="45"/>
      <c r="K23" s="45"/>
    </row>
    <row r="24" ht="15.75" customHeight="1">
      <c r="A24" s="83" t="s">
        <v>272</v>
      </c>
      <c r="B24" s="215"/>
      <c r="C24" s="217"/>
      <c r="D24" s="69"/>
      <c r="E24" s="245"/>
      <c r="F24" s="45"/>
      <c r="G24" s="45"/>
      <c r="H24" s="45"/>
      <c r="I24" s="45"/>
      <c r="J24" s="45"/>
      <c r="K24" s="45"/>
    </row>
    <row r="25" ht="15.75" customHeight="1">
      <c r="A25" s="83" t="s">
        <v>275</v>
      </c>
      <c r="B25" s="215"/>
      <c r="C25" s="217"/>
      <c r="D25" s="69"/>
      <c r="E25" s="245"/>
      <c r="F25" s="45"/>
      <c r="G25" s="45"/>
      <c r="H25" s="45"/>
      <c r="I25" s="45"/>
      <c r="J25" s="45"/>
      <c r="K25" s="45"/>
    </row>
    <row r="26" ht="15.75" customHeight="1">
      <c r="A26" s="83"/>
      <c r="B26" s="215"/>
      <c r="C26" s="217"/>
      <c r="D26" s="69"/>
      <c r="E26" s="245"/>
      <c r="F26" s="45"/>
      <c r="G26" s="45"/>
      <c r="H26" s="45"/>
      <c r="I26" s="45"/>
      <c r="J26" s="45"/>
      <c r="K26" s="45"/>
    </row>
    <row r="27" ht="15.75" customHeight="1">
      <c r="A27" s="301" t="s">
        <v>277</v>
      </c>
      <c r="B27" s="302"/>
      <c r="C27" s="302"/>
      <c r="D27" s="206"/>
      <c r="E27" s="289"/>
      <c r="F27" s="45"/>
      <c r="G27" s="45"/>
      <c r="H27" s="45"/>
      <c r="I27" s="45"/>
      <c r="J27" s="45"/>
      <c r="K27" s="45"/>
    </row>
    <row r="28" ht="15.75" customHeight="1">
      <c r="A28" s="268" t="s">
        <v>12</v>
      </c>
      <c r="B28" s="182" t="s">
        <v>16</v>
      </c>
      <c r="C28" s="182" t="s">
        <v>20</v>
      </c>
      <c r="D28" s="183" t="s">
        <v>22</v>
      </c>
      <c r="E28" s="235"/>
      <c r="F28" s="45"/>
      <c r="G28" s="45"/>
      <c r="H28" s="45"/>
      <c r="I28" s="45"/>
      <c r="J28" s="45"/>
      <c r="K28" s="45"/>
    </row>
    <row r="29" ht="15.75" customHeight="1">
      <c r="A29" s="269" t="s">
        <v>280</v>
      </c>
      <c r="B29" s="210">
        <v>500.0</v>
      </c>
      <c r="C29" s="212" t="s">
        <v>25</v>
      </c>
      <c r="D29" s="62"/>
      <c r="E29" s="270"/>
      <c r="F29" s="45"/>
      <c r="G29" s="45"/>
      <c r="H29" s="45"/>
      <c r="I29" s="45"/>
      <c r="J29" s="45"/>
      <c r="K29" s="45"/>
    </row>
    <row r="30" ht="15.75" customHeight="1">
      <c r="A30" s="83" t="s">
        <v>281</v>
      </c>
      <c r="B30" s="215">
        <v>300.0</v>
      </c>
      <c r="C30" s="217" t="s">
        <v>112</v>
      </c>
      <c r="D30" s="69"/>
      <c r="E30" s="235"/>
    </row>
    <row r="31" ht="15.75" customHeight="1">
      <c r="A31" s="83"/>
      <c r="B31" s="215"/>
      <c r="C31" s="217"/>
      <c r="D31" s="69"/>
      <c r="E31" s="245"/>
    </row>
    <row r="32" ht="15.75" customHeight="1">
      <c r="A32" s="83"/>
      <c r="B32" s="215"/>
      <c r="C32" s="217"/>
      <c r="D32" s="69"/>
      <c r="E32" s="245"/>
    </row>
    <row r="33" ht="15.75" customHeight="1">
      <c r="A33" s="230" t="s">
        <v>62</v>
      </c>
      <c r="B33" s="232">
        <v>625.0</v>
      </c>
      <c r="C33" s="234" t="s">
        <v>25</v>
      </c>
      <c r="D33" s="87"/>
      <c r="E33" s="231"/>
    </row>
    <row r="34" ht="15.75" customHeight="1">
      <c r="A34" s="230" t="s">
        <v>64</v>
      </c>
      <c r="B34" s="237"/>
      <c r="C34" s="238"/>
      <c r="D34" s="87"/>
      <c r="E34" s="231"/>
    </row>
    <row r="35" ht="15.75" customHeight="1">
      <c r="A35" s="83" t="s">
        <v>285</v>
      </c>
      <c r="B35" s="118"/>
      <c r="C35" s="120"/>
      <c r="D35" s="121"/>
      <c r="E35" s="303"/>
    </row>
    <row r="36" ht="15.75" customHeight="1">
      <c r="A36" s="83" t="s">
        <v>288</v>
      </c>
      <c r="B36" s="118"/>
      <c r="C36" s="120"/>
      <c r="D36" s="121"/>
      <c r="E36" s="303"/>
    </row>
    <row r="37" ht="15.75" customHeight="1">
      <c r="A37" s="83" t="s">
        <v>290</v>
      </c>
      <c r="B37" s="118"/>
      <c r="C37" s="120"/>
      <c r="D37" s="121"/>
      <c r="E37" s="303"/>
    </row>
    <row r="38" ht="15.75" customHeight="1">
      <c r="A38" s="304" t="s">
        <v>293</v>
      </c>
      <c r="B38" s="118"/>
      <c r="C38" s="120"/>
      <c r="D38" s="121"/>
      <c r="E38" s="303"/>
    </row>
    <row r="39" ht="15.75" customHeight="1">
      <c r="A39" s="83"/>
      <c r="B39" s="118"/>
      <c r="C39" s="120"/>
      <c r="D39" s="121"/>
      <c r="E39" s="303"/>
    </row>
    <row r="40" ht="15.75" customHeight="1">
      <c r="A40" s="290" t="s">
        <v>267</v>
      </c>
      <c r="B40" s="182"/>
      <c r="C40" s="182"/>
      <c r="D40" s="183"/>
      <c r="E40" s="235"/>
    </row>
    <row r="41" ht="15.75" customHeight="1">
      <c r="A41" s="77" t="s">
        <v>297</v>
      </c>
      <c r="B41" s="5"/>
      <c r="E41" s="306"/>
    </row>
    <row r="42" ht="15.75" customHeight="1">
      <c r="A42" s="77" t="s">
        <v>299</v>
      </c>
      <c r="B42" s="5"/>
      <c r="E42" s="306"/>
    </row>
    <row r="43" ht="15.75" customHeight="1">
      <c r="A43" s="77" t="s">
        <v>300</v>
      </c>
      <c r="B43" s="5"/>
      <c r="E43" s="306"/>
    </row>
    <row r="44" ht="15.75" customHeight="1">
      <c r="A44" s="77" t="s">
        <v>301</v>
      </c>
      <c r="B44" s="5"/>
      <c r="E44" s="306"/>
    </row>
    <row r="45" ht="15.75" customHeight="1">
      <c r="A45" s="308"/>
      <c r="B45" s="309"/>
      <c r="C45" s="310"/>
      <c r="D45" s="310"/>
      <c r="E45" s="311"/>
    </row>
    <row r="46" ht="15.75" customHeight="1">
      <c r="B46" s="5"/>
    </row>
    <row r="47" ht="15.75" customHeight="1">
      <c r="B47" s="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mergeCells count="12">
    <mergeCell ref="D21:E21"/>
    <mergeCell ref="D28:E28"/>
    <mergeCell ref="D29:E29"/>
    <mergeCell ref="D30:E30"/>
    <mergeCell ref="D40:E40"/>
    <mergeCell ref="A3:D3"/>
    <mergeCell ref="A5:C5"/>
    <mergeCell ref="D8:E8"/>
    <mergeCell ref="D9:E9"/>
    <mergeCell ref="D10:E10"/>
    <mergeCell ref="D11:E11"/>
    <mergeCell ref="A18:C18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 t="s">
        <v>256</v>
      </c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261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264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266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 t="s">
        <v>270</v>
      </c>
      <c r="B9" s="59">
        <v>50.0</v>
      </c>
      <c r="C9" s="218" t="s">
        <v>25</v>
      </c>
      <c r="D9" s="62"/>
      <c r="E9" s="14"/>
      <c r="F9" s="45"/>
      <c r="G9" s="45"/>
      <c r="H9" s="45"/>
      <c r="I9" s="45"/>
      <c r="J9" s="45"/>
      <c r="K9" s="45"/>
    </row>
    <row r="10">
      <c r="A10" s="54" t="s">
        <v>274</v>
      </c>
      <c r="B10" s="65">
        <v>40.0</v>
      </c>
      <c r="C10" s="74" t="s">
        <v>25</v>
      </c>
      <c r="D10" s="69"/>
      <c r="E10" s="70"/>
      <c r="F10" s="45"/>
      <c r="G10" s="45"/>
      <c r="H10" s="45"/>
      <c r="I10" s="45"/>
      <c r="J10" s="45"/>
      <c r="K10" s="45"/>
    </row>
    <row r="11">
      <c r="A11" s="54" t="s">
        <v>196</v>
      </c>
      <c r="B11" s="65">
        <v>25.0</v>
      </c>
      <c r="C11" s="74" t="s">
        <v>25</v>
      </c>
      <c r="D11" s="69"/>
      <c r="E11" s="70"/>
      <c r="F11" s="45"/>
      <c r="G11" s="45"/>
      <c r="H11" s="45"/>
      <c r="I11" s="45"/>
      <c r="J11" s="45"/>
      <c r="K11" s="45"/>
    </row>
    <row r="12">
      <c r="A12" s="54" t="s">
        <v>143</v>
      </c>
      <c r="B12" s="65">
        <v>20.0</v>
      </c>
      <c r="C12" s="74" t="s">
        <v>25</v>
      </c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185"/>
      <c r="F13" s="45"/>
      <c r="G13" s="45"/>
      <c r="H13" s="45"/>
      <c r="I13" s="45"/>
      <c r="J13" s="45"/>
      <c r="K13" s="45"/>
    </row>
    <row r="14">
      <c r="A14" s="76"/>
      <c r="B14" s="78"/>
      <c r="C14" s="80"/>
      <c r="D14" s="81"/>
      <c r="E14" s="82"/>
      <c r="F14" s="45"/>
      <c r="G14" s="45"/>
      <c r="H14" s="45"/>
      <c r="I14" s="45"/>
      <c r="J14" s="45"/>
      <c r="K14" s="45"/>
    </row>
    <row r="15">
      <c r="A15" s="190" t="s">
        <v>48</v>
      </c>
      <c r="B15" s="195"/>
      <c r="C15" s="195"/>
      <c r="D15" s="197"/>
      <c r="E15" s="197"/>
      <c r="F15" s="45"/>
      <c r="G15" s="45"/>
      <c r="H15" s="45"/>
      <c r="I15" s="45"/>
      <c r="J15" s="45"/>
      <c r="K15" s="45"/>
    </row>
    <row r="16">
      <c r="A16" s="50" t="s">
        <v>283</v>
      </c>
      <c r="B16" s="88"/>
      <c r="C16" s="88"/>
      <c r="D16" s="88"/>
      <c r="E16" s="89"/>
      <c r="F16" s="45"/>
      <c r="G16" s="45"/>
      <c r="H16" s="45"/>
      <c r="I16" s="45"/>
      <c r="J16" s="45"/>
      <c r="K16" s="45"/>
    </row>
    <row r="17">
      <c r="A17" s="54" t="s">
        <v>284</v>
      </c>
      <c r="B17" s="94"/>
      <c r="C17" s="94"/>
      <c r="D17" s="94"/>
      <c r="E17" s="96"/>
      <c r="F17" s="45"/>
      <c r="G17" s="45"/>
      <c r="H17" s="45"/>
      <c r="I17" s="45"/>
      <c r="J17" s="45"/>
      <c r="K17" s="45"/>
    </row>
    <row r="18">
      <c r="A18" s="54" t="s">
        <v>286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 ht="15.75" customHeight="1">
      <c r="A19" s="54" t="s">
        <v>289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305" t="s">
        <v>292</v>
      </c>
      <c r="D20" s="45"/>
      <c r="E20" s="204"/>
      <c r="F20" s="45"/>
      <c r="G20" s="45"/>
      <c r="H20" s="45"/>
      <c r="I20" s="45"/>
      <c r="J20" s="45"/>
      <c r="K20" s="45"/>
    </row>
    <row r="21" ht="15.75" customHeight="1">
      <c r="A21" s="122" t="s">
        <v>296</v>
      </c>
      <c r="B21" s="123"/>
      <c r="C21" s="123"/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307" t="s">
        <v>302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 t="s">
        <v>303</v>
      </c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 t="s">
        <v>304</v>
      </c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 t="s">
        <v>305</v>
      </c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 t="s">
        <v>306</v>
      </c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 t="s">
        <v>307</v>
      </c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229"/>
      <c r="B31" s="121"/>
      <c r="C31" s="12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301" t="s">
        <v>274</v>
      </c>
      <c r="B32" s="302"/>
      <c r="C32" s="302"/>
      <c r="D32" s="206"/>
      <c r="E32" s="289"/>
      <c r="F32" s="45"/>
      <c r="G32" s="45"/>
      <c r="H32" s="45"/>
      <c r="I32" s="45"/>
      <c r="J32" s="45"/>
      <c r="K32" s="45"/>
    </row>
    <row r="33" ht="15.75" customHeight="1">
      <c r="A33" s="268" t="s">
        <v>12</v>
      </c>
      <c r="B33" s="182" t="s">
        <v>16</v>
      </c>
      <c r="C33" s="182" t="s">
        <v>20</v>
      </c>
      <c r="D33" s="183" t="s">
        <v>22</v>
      </c>
      <c r="E33" s="235"/>
      <c r="F33" s="45"/>
      <c r="G33" s="45"/>
      <c r="H33" s="45"/>
      <c r="I33" s="45"/>
      <c r="J33" s="45"/>
      <c r="K33" s="45"/>
    </row>
    <row r="34" ht="15.75" customHeight="1">
      <c r="A34" s="269" t="s">
        <v>308</v>
      </c>
      <c r="B34" s="210">
        <v>250.0</v>
      </c>
      <c r="C34" s="212" t="s">
        <v>25</v>
      </c>
      <c r="D34" s="62"/>
      <c r="E34" s="270"/>
      <c r="F34" s="45"/>
      <c r="G34" s="45"/>
      <c r="H34" s="45"/>
      <c r="I34" s="45"/>
      <c r="J34" s="45"/>
      <c r="K34" s="45"/>
    </row>
    <row r="35" ht="15.75" customHeight="1">
      <c r="A35" s="83" t="s">
        <v>109</v>
      </c>
      <c r="B35" s="215">
        <v>500.0</v>
      </c>
      <c r="C35" s="217" t="s">
        <v>25</v>
      </c>
      <c r="D35" s="69"/>
      <c r="E35" s="235"/>
      <c r="F35" s="45"/>
      <c r="G35" s="45"/>
      <c r="H35" s="45"/>
      <c r="I35" s="45"/>
      <c r="J35" s="45"/>
      <c r="K35" s="45"/>
    </row>
    <row r="36" ht="15.75" customHeight="1">
      <c r="A36" s="83"/>
      <c r="B36" s="215"/>
      <c r="C36" s="217"/>
      <c r="D36" s="69"/>
      <c r="E36" s="245"/>
      <c r="F36" s="45"/>
      <c r="G36" s="45"/>
      <c r="H36" s="45"/>
      <c r="I36" s="45"/>
      <c r="J36" s="45"/>
      <c r="K36" s="45"/>
    </row>
    <row r="37" ht="15.75" customHeight="1">
      <c r="A37" s="83"/>
      <c r="B37" s="215"/>
      <c r="C37" s="217"/>
      <c r="D37" s="69"/>
      <c r="E37" s="245"/>
      <c r="F37" s="45"/>
      <c r="G37" s="45"/>
      <c r="H37" s="45"/>
      <c r="I37" s="45"/>
      <c r="J37" s="45"/>
      <c r="K37" s="45"/>
    </row>
    <row r="38" ht="15.75" customHeight="1">
      <c r="A38" s="230" t="s">
        <v>62</v>
      </c>
      <c r="B38" s="232">
        <v>750.0</v>
      </c>
      <c r="C38" s="234" t="s">
        <v>25</v>
      </c>
      <c r="D38" s="87"/>
      <c r="E38" s="231"/>
      <c r="F38" s="45"/>
      <c r="G38" s="45"/>
      <c r="H38" s="45"/>
      <c r="I38" s="45"/>
      <c r="J38" s="45"/>
      <c r="K38" s="45"/>
    </row>
    <row r="39" ht="15.75" customHeight="1">
      <c r="A39" s="230" t="s">
        <v>64</v>
      </c>
      <c r="B39" s="237"/>
      <c r="C39" s="238"/>
      <c r="D39" s="87"/>
      <c r="E39" s="231"/>
      <c r="F39" s="45"/>
      <c r="G39" s="45"/>
      <c r="H39" s="45"/>
      <c r="I39" s="45"/>
      <c r="J39" s="45"/>
      <c r="K39" s="45"/>
    </row>
    <row r="40" ht="15.75" customHeight="1">
      <c r="A40" s="83"/>
      <c r="B40" s="118"/>
      <c r="C40" s="120"/>
      <c r="D40" s="121"/>
      <c r="E40" s="303"/>
      <c r="F40" s="45"/>
      <c r="G40" s="45"/>
      <c r="H40" s="45"/>
      <c r="I40" s="45"/>
      <c r="J40" s="45"/>
      <c r="K40" s="45"/>
    </row>
    <row r="41" ht="15.75" customHeight="1">
      <c r="A41" s="83"/>
      <c r="B41" s="118"/>
      <c r="C41" s="120"/>
      <c r="D41" s="121"/>
      <c r="E41" s="303"/>
      <c r="F41" s="45"/>
      <c r="G41" s="45"/>
      <c r="H41" s="45"/>
      <c r="I41" s="45"/>
      <c r="J41" s="45"/>
      <c r="K41" s="45"/>
    </row>
    <row r="42" ht="15.75" customHeight="1">
      <c r="A42" s="83"/>
      <c r="B42" s="118"/>
      <c r="C42" s="120"/>
      <c r="D42" s="121"/>
      <c r="E42" s="303"/>
      <c r="F42" s="45"/>
      <c r="G42" s="45"/>
      <c r="H42" s="45"/>
      <c r="I42" s="45"/>
      <c r="J42" s="45"/>
      <c r="K42" s="45"/>
    </row>
    <row r="43" ht="15.75" customHeight="1">
      <c r="A43" s="304"/>
      <c r="B43" s="118"/>
      <c r="C43" s="120"/>
      <c r="D43" s="121"/>
      <c r="E43" s="303"/>
    </row>
    <row r="44" ht="15.75" customHeight="1">
      <c r="A44" s="83"/>
      <c r="B44" s="118"/>
      <c r="C44" s="120"/>
      <c r="D44" s="121"/>
      <c r="E44" s="303"/>
    </row>
    <row r="45" ht="15.75" customHeight="1">
      <c r="A45" s="290" t="s">
        <v>267</v>
      </c>
      <c r="B45" s="182"/>
      <c r="C45" s="182"/>
      <c r="D45" s="183"/>
      <c r="E45" s="235"/>
    </row>
    <row r="46" ht="15.75" customHeight="1">
      <c r="A46" s="77" t="s">
        <v>297</v>
      </c>
      <c r="B46" s="5"/>
      <c r="E46" s="306"/>
    </row>
    <row r="47" ht="15.75" customHeight="1">
      <c r="A47" s="77" t="s">
        <v>299</v>
      </c>
      <c r="B47" s="5"/>
      <c r="E47" s="306"/>
    </row>
    <row r="48" ht="15.75" customHeight="1">
      <c r="A48" s="77" t="s">
        <v>300</v>
      </c>
      <c r="B48" s="5"/>
      <c r="E48" s="306"/>
    </row>
    <row r="49" ht="15.75" customHeight="1">
      <c r="A49" s="77" t="s">
        <v>301</v>
      </c>
      <c r="B49" s="5"/>
      <c r="E49" s="306"/>
    </row>
    <row r="50" ht="15.75" customHeight="1">
      <c r="A50" s="308"/>
      <c r="B50" s="309"/>
      <c r="C50" s="310"/>
      <c r="D50" s="310"/>
      <c r="E50" s="311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4">
    <mergeCell ref="D23:E23"/>
    <mergeCell ref="D24:E24"/>
    <mergeCell ref="D25:E25"/>
    <mergeCell ref="D33:E33"/>
    <mergeCell ref="D34:E34"/>
    <mergeCell ref="D35:E35"/>
    <mergeCell ref="D45:E45"/>
    <mergeCell ref="A3:D3"/>
    <mergeCell ref="A5:C5"/>
    <mergeCell ref="D8:E8"/>
    <mergeCell ref="D9:E9"/>
    <mergeCell ref="D10:E10"/>
    <mergeCell ref="D11:E11"/>
    <mergeCell ref="A20:C2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 t="s">
        <v>269</v>
      </c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273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276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278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 t="s">
        <v>279</v>
      </c>
      <c r="B9" s="59">
        <v>50.0</v>
      </c>
      <c r="C9" s="218" t="s">
        <v>25</v>
      </c>
      <c r="D9" s="62"/>
      <c r="E9" s="14"/>
      <c r="F9" s="45"/>
      <c r="G9" s="45"/>
      <c r="H9" s="45"/>
      <c r="I9" s="45"/>
      <c r="J9" s="45"/>
      <c r="K9" s="45"/>
    </row>
    <row r="10">
      <c r="A10" s="54" t="s">
        <v>282</v>
      </c>
      <c r="B10" s="65">
        <v>150.0</v>
      </c>
      <c r="C10" s="74" t="s">
        <v>25</v>
      </c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76"/>
      <c r="B12" s="78"/>
      <c r="C12" s="80"/>
      <c r="D12" s="81"/>
      <c r="E12" s="82"/>
      <c r="F12" s="45"/>
      <c r="G12" s="45"/>
      <c r="H12" s="45"/>
      <c r="I12" s="45"/>
      <c r="J12" s="45"/>
      <c r="K12" s="45"/>
    </row>
    <row r="13">
      <c r="A13" s="190" t="s">
        <v>48</v>
      </c>
      <c r="B13" s="195"/>
      <c r="C13" s="195"/>
      <c r="D13" s="197"/>
      <c r="E13" s="197"/>
      <c r="F13" s="45"/>
      <c r="G13" s="45"/>
      <c r="H13" s="45"/>
      <c r="I13" s="45"/>
      <c r="J13" s="45"/>
      <c r="K13" s="45"/>
    </row>
    <row r="14">
      <c r="A14" s="50" t="s">
        <v>287</v>
      </c>
      <c r="B14" s="88"/>
      <c r="C14" s="88"/>
      <c r="D14" s="88"/>
      <c r="E14" s="89"/>
      <c r="F14" s="45"/>
      <c r="G14" s="45"/>
      <c r="H14" s="45"/>
      <c r="I14" s="45"/>
      <c r="J14" s="45"/>
      <c r="K14" s="45"/>
    </row>
    <row r="15">
      <c r="A15" s="54" t="s">
        <v>291</v>
      </c>
      <c r="B15" s="94"/>
      <c r="C15" s="94"/>
      <c r="D15" s="94"/>
      <c r="E15" s="96"/>
      <c r="F15" s="45"/>
      <c r="G15" s="45"/>
      <c r="H15" s="45"/>
      <c r="I15" s="45"/>
      <c r="J15" s="45"/>
      <c r="K15" s="45"/>
    </row>
    <row r="16">
      <c r="A16" s="54" t="s">
        <v>294</v>
      </c>
      <c r="B16" s="94"/>
      <c r="C16" s="94"/>
      <c r="D16" s="94"/>
      <c r="E16" s="96"/>
      <c r="F16" s="45"/>
      <c r="G16" s="45"/>
      <c r="H16" s="45"/>
      <c r="I16" s="45"/>
      <c r="J16" s="45"/>
      <c r="K16" s="45"/>
    </row>
    <row r="17" ht="15.75" customHeight="1">
      <c r="A17" s="54" t="s">
        <v>295</v>
      </c>
      <c r="B17" s="94"/>
      <c r="C17" s="94"/>
      <c r="D17" s="94"/>
      <c r="E17" s="96"/>
      <c r="F17" s="45"/>
      <c r="G17" s="45"/>
      <c r="H17" s="45"/>
      <c r="I17" s="45"/>
      <c r="J17" s="45"/>
      <c r="K17" s="45"/>
    </row>
    <row r="18" ht="15.75" customHeight="1">
      <c r="A18" s="305" t="s">
        <v>298</v>
      </c>
      <c r="D18" s="45"/>
      <c r="E18" s="204"/>
      <c r="F18" s="45"/>
      <c r="G18" s="45"/>
      <c r="H18" s="45"/>
      <c r="I18" s="45"/>
      <c r="J18" s="45"/>
      <c r="K18" s="45"/>
    </row>
    <row r="19" ht="15.75" customHeight="1">
      <c r="A19" s="171"/>
      <c r="B19" s="37"/>
      <c r="C19" s="37"/>
      <c r="D19" s="206"/>
      <c r="E19" s="207"/>
      <c r="F19" s="45"/>
      <c r="G19" s="45"/>
      <c r="H19" s="45"/>
      <c r="I19" s="45"/>
      <c r="J19" s="45"/>
      <c r="K19" s="45"/>
    </row>
    <row r="20" ht="15.75" customHeight="1">
      <c r="A20" s="181" t="s">
        <v>12</v>
      </c>
      <c r="B20" s="182" t="s">
        <v>16</v>
      </c>
      <c r="C20" s="182" t="s">
        <v>20</v>
      </c>
      <c r="D20" s="183" t="s">
        <v>22</v>
      </c>
      <c r="F20" s="45"/>
      <c r="G20" s="45"/>
      <c r="H20" s="45"/>
      <c r="I20" s="45"/>
      <c r="J20" s="45"/>
      <c r="K20" s="45"/>
    </row>
    <row r="21" ht="15.75" customHeight="1">
      <c r="A21" s="50"/>
      <c r="B21" s="210"/>
      <c r="C21" s="212"/>
      <c r="D21" s="62"/>
      <c r="E21" s="14"/>
      <c r="F21" s="45"/>
      <c r="G21" s="45"/>
      <c r="H21" s="45"/>
      <c r="I21" s="45"/>
      <c r="J21" s="45"/>
      <c r="K21" s="45"/>
    </row>
    <row r="22" ht="15.75" customHeight="1">
      <c r="A22" s="54"/>
      <c r="B22" s="215"/>
      <c r="C22" s="217"/>
      <c r="D22" s="69"/>
      <c r="E22" s="70"/>
      <c r="F22" s="45"/>
      <c r="G22" s="45"/>
      <c r="H22" s="45"/>
      <c r="I22" s="45"/>
      <c r="J22" s="45"/>
      <c r="K22" s="45"/>
    </row>
    <row r="23" ht="15.75" customHeight="1">
      <c r="A23" s="54"/>
      <c r="B23" s="215"/>
      <c r="C23" s="217"/>
      <c r="D23" s="69"/>
      <c r="E23" s="185"/>
      <c r="F23" s="45"/>
      <c r="G23" s="45"/>
      <c r="H23" s="45"/>
      <c r="I23" s="45"/>
      <c r="J23" s="45"/>
      <c r="K23" s="45"/>
    </row>
    <row r="24" ht="15.75" customHeight="1">
      <c r="A24" s="54"/>
      <c r="B24" s="215"/>
      <c r="C24" s="217"/>
      <c r="D24" s="69"/>
      <c r="E24" s="185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185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222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27"/>
      <c r="C29" s="217"/>
      <c r="D29" s="69"/>
      <c r="E29" s="222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185"/>
      <c r="F30" s="45"/>
      <c r="G30" s="45"/>
      <c r="H30" s="45"/>
      <c r="I30" s="45"/>
      <c r="J30" s="45"/>
      <c r="K30" s="45"/>
    </row>
    <row r="31" ht="15.75" customHeight="1">
      <c r="A31" s="229"/>
      <c r="B31" s="121"/>
      <c r="C31" s="12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229"/>
      <c r="B32" s="121"/>
      <c r="C32" s="127"/>
      <c r="D32" s="69"/>
      <c r="E32" s="185"/>
      <c r="F32" s="45"/>
      <c r="G32" s="45"/>
      <c r="H32" s="45"/>
      <c r="I32" s="45"/>
      <c r="J32" s="45"/>
      <c r="K32" s="45"/>
    </row>
    <row r="33" ht="15.75" customHeight="1">
      <c r="A33" s="175" t="s">
        <v>62</v>
      </c>
      <c r="B33" s="232"/>
      <c r="C33" s="234"/>
      <c r="D33" s="87"/>
      <c r="E33" s="176"/>
      <c r="F33" s="45"/>
      <c r="G33" s="45"/>
      <c r="H33" s="45"/>
      <c r="I33" s="45"/>
      <c r="J33" s="45"/>
      <c r="K33" s="45"/>
    </row>
    <row r="34" ht="15.75" customHeight="1">
      <c r="A34" s="175" t="s">
        <v>64</v>
      </c>
      <c r="B34" s="237"/>
      <c r="C34" s="238"/>
      <c r="D34" s="87"/>
      <c r="E34" s="176"/>
      <c r="F34" s="45"/>
      <c r="G34" s="45"/>
      <c r="H34" s="45"/>
      <c r="I34" s="45"/>
      <c r="J34" s="45"/>
      <c r="K34" s="45"/>
    </row>
    <row r="35" ht="15.75" customHeight="1">
      <c r="A35" s="54"/>
      <c r="B35" s="118"/>
      <c r="C35" s="120"/>
      <c r="D35" s="121"/>
      <c r="E35" s="239"/>
      <c r="F35" s="45"/>
      <c r="G35" s="45"/>
      <c r="H35" s="45"/>
      <c r="I35" s="45"/>
      <c r="J35" s="45"/>
      <c r="K35" s="45"/>
    </row>
    <row r="36" ht="15.75" customHeight="1">
      <c r="A36" s="54"/>
      <c r="B36" s="118"/>
      <c r="C36" s="120"/>
      <c r="D36" s="121"/>
      <c r="E36" s="239"/>
      <c r="F36" s="45"/>
      <c r="G36" s="45"/>
      <c r="H36" s="45"/>
      <c r="I36" s="45"/>
      <c r="J36" s="45"/>
      <c r="K36" s="45"/>
    </row>
    <row r="37" ht="15.75" customHeight="1">
      <c r="A37" s="54"/>
      <c r="B37" s="118"/>
      <c r="C37" s="120"/>
      <c r="D37" s="121"/>
      <c r="E37" s="239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8"/>
      <c r="B40" s="241"/>
      <c r="C40" s="242"/>
      <c r="D40" s="244"/>
      <c r="E40" s="246"/>
      <c r="F40" s="45"/>
      <c r="G40" s="45"/>
      <c r="H40" s="45"/>
      <c r="I40" s="45"/>
      <c r="J40" s="45"/>
      <c r="K40" s="45"/>
    </row>
    <row r="41" ht="15.75" customHeight="1">
      <c r="A41" s="79"/>
      <c r="B41" s="118"/>
      <c r="C41" s="120"/>
      <c r="D41" s="121"/>
      <c r="E41" s="121"/>
      <c r="F41" s="45"/>
      <c r="G41" s="45"/>
      <c r="H41" s="45"/>
      <c r="I41" s="45"/>
      <c r="J41" s="45"/>
      <c r="K41" s="45"/>
    </row>
    <row r="42" ht="15.75" customHeight="1">
      <c r="A42" s="28"/>
      <c r="D42" s="121"/>
      <c r="E42" s="121"/>
      <c r="F42" s="45"/>
      <c r="G42" s="45"/>
      <c r="H42" s="45"/>
      <c r="I42" s="45"/>
      <c r="J42" s="45"/>
      <c r="K42" s="4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1">
    <mergeCell ref="D20:E20"/>
    <mergeCell ref="D21:E21"/>
    <mergeCell ref="D22:E22"/>
    <mergeCell ref="A42:C42"/>
    <mergeCell ref="A3:D3"/>
    <mergeCell ref="A5:C5"/>
    <mergeCell ref="D8:E8"/>
    <mergeCell ref="D9:E9"/>
    <mergeCell ref="D10:E10"/>
    <mergeCell ref="D11:E11"/>
    <mergeCell ref="A18:C18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311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312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313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314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315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316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317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318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319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320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321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322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323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324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325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326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328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330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332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334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327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329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331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333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335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336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337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338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339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340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341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342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343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344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345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346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347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348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349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350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351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352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353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354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355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356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357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358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359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360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361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362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363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364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365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366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367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368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369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370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371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372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373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374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99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11"/>
      <c r="B3" s="12"/>
      <c r="C3" s="12"/>
      <c r="D3" s="12"/>
      <c r="E3" s="177"/>
      <c r="F3" s="4"/>
      <c r="G3" s="4"/>
      <c r="H3" s="4"/>
      <c r="I3" s="4"/>
      <c r="J3" s="4"/>
      <c r="K3" s="4"/>
    </row>
    <row r="4" ht="18.0" customHeight="1">
      <c r="A4" s="202" t="s">
        <v>258</v>
      </c>
      <c r="B4" s="8"/>
      <c r="C4" s="8"/>
      <c r="D4" s="8"/>
      <c r="E4" s="178"/>
      <c r="F4" s="4"/>
      <c r="G4" s="4"/>
      <c r="H4" s="4"/>
      <c r="I4" s="4"/>
      <c r="J4" s="4"/>
      <c r="K4" s="4"/>
    </row>
    <row r="5">
      <c r="A5" s="29" t="s">
        <v>309</v>
      </c>
      <c r="D5" s="21"/>
      <c r="E5" s="178"/>
      <c r="F5" s="25"/>
      <c r="G5" s="25"/>
      <c r="H5" s="25"/>
      <c r="I5" s="25"/>
      <c r="J5" s="25"/>
      <c r="K5" s="25"/>
    </row>
    <row r="6">
      <c r="A6" s="29" t="s">
        <v>14</v>
      </c>
      <c r="B6" s="28"/>
      <c r="C6" s="28"/>
      <c r="D6" s="21"/>
      <c r="E6" s="178"/>
      <c r="F6" s="25"/>
      <c r="G6" s="25"/>
      <c r="H6" s="25"/>
      <c r="I6" s="25"/>
      <c r="J6" s="25"/>
      <c r="K6" s="25"/>
    </row>
    <row r="7">
      <c r="A7" s="171" t="s">
        <v>310</v>
      </c>
      <c r="B7" s="37"/>
      <c r="C7" s="37"/>
      <c r="D7" s="179"/>
      <c r="E7" s="180"/>
      <c r="F7" s="25"/>
      <c r="G7" s="25"/>
      <c r="H7" s="25"/>
      <c r="I7" s="25"/>
      <c r="J7" s="25"/>
      <c r="K7" s="25"/>
    </row>
    <row r="8">
      <c r="A8" s="181" t="s">
        <v>12</v>
      </c>
      <c r="B8" s="182" t="s">
        <v>16</v>
      </c>
      <c r="C8" s="182" t="s">
        <v>20</v>
      </c>
      <c r="D8" s="183" t="s">
        <v>22</v>
      </c>
      <c r="F8" s="45"/>
      <c r="G8" s="45"/>
      <c r="H8" s="45"/>
      <c r="I8" s="45"/>
      <c r="J8" s="45"/>
      <c r="K8" s="45"/>
    </row>
    <row r="9">
      <c r="A9" s="50"/>
      <c r="B9" s="59"/>
      <c r="C9" s="60"/>
      <c r="D9" s="62"/>
      <c r="E9" s="14"/>
      <c r="F9" s="45"/>
      <c r="G9" s="45"/>
      <c r="H9" s="45"/>
      <c r="I9" s="45"/>
      <c r="J9" s="45"/>
      <c r="K9" s="45"/>
    </row>
    <row r="10">
      <c r="A10" s="54"/>
      <c r="B10" s="65"/>
      <c r="C10" s="74"/>
      <c r="D10" s="69"/>
      <c r="E10" s="70"/>
      <c r="F10" s="45"/>
      <c r="G10" s="45"/>
      <c r="H10" s="45"/>
      <c r="I10" s="45"/>
      <c r="J10" s="45"/>
      <c r="K10" s="45"/>
    </row>
    <row r="11">
      <c r="A11" s="54"/>
      <c r="B11" s="65"/>
      <c r="C11" s="74"/>
      <c r="D11" s="69"/>
      <c r="E11" s="70"/>
      <c r="F11" s="45"/>
      <c r="G11" s="45"/>
      <c r="H11" s="45"/>
      <c r="I11" s="45"/>
      <c r="J11" s="45"/>
      <c r="K11" s="45"/>
    </row>
    <row r="12">
      <c r="A12" s="54"/>
      <c r="B12" s="65"/>
      <c r="C12" s="74"/>
      <c r="D12" s="69"/>
      <c r="E12" s="75"/>
      <c r="F12" s="45"/>
      <c r="G12" s="45"/>
      <c r="H12" s="45"/>
      <c r="I12" s="45"/>
      <c r="J12" s="45"/>
      <c r="K12" s="45"/>
    </row>
    <row r="13">
      <c r="A13" s="184"/>
      <c r="B13" s="5"/>
      <c r="C13" s="67"/>
      <c r="D13" s="69"/>
      <c r="E13" s="70"/>
      <c r="F13" s="45"/>
      <c r="G13" s="45"/>
      <c r="H13" s="45"/>
      <c r="I13" s="45"/>
      <c r="J13" s="45"/>
      <c r="K13" s="45"/>
    </row>
    <row r="14">
      <c r="A14" s="184"/>
      <c r="B14" s="5"/>
      <c r="C14" s="67"/>
      <c r="D14" s="69"/>
      <c r="E14" s="185"/>
      <c r="F14" s="45"/>
      <c r="G14" s="45"/>
      <c r="H14" s="45"/>
      <c r="I14" s="45"/>
      <c r="J14" s="45"/>
      <c r="K14" s="45"/>
    </row>
    <row r="15">
      <c r="A15" s="76"/>
      <c r="B15" s="78"/>
      <c r="C15" s="80"/>
      <c r="D15" s="81"/>
      <c r="E15" s="82"/>
      <c r="F15" s="45"/>
      <c r="G15" s="45"/>
      <c r="H15" s="45"/>
      <c r="I15" s="45"/>
      <c r="J15" s="45"/>
      <c r="K15" s="45"/>
    </row>
    <row r="16">
      <c r="A16" s="190" t="s">
        <v>48</v>
      </c>
      <c r="B16" s="195"/>
      <c r="C16" s="195"/>
      <c r="D16" s="197"/>
      <c r="E16" s="197"/>
      <c r="F16" s="45"/>
      <c r="G16" s="45"/>
      <c r="H16" s="45"/>
      <c r="I16" s="45"/>
      <c r="J16" s="45"/>
      <c r="K16" s="45"/>
    </row>
    <row r="17">
      <c r="A17" s="50" t="s">
        <v>378</v>
      </c>
      <c r="B17" s="88"/>
      <c r="C17" s="88"/>
      <c r="D17" s="88"/>
      <c r="E17" s="89"/>
      <c r="F17" s="45"/>
      <c r="G17" s="45"/>
      <c r="H17" s="45"/>
      <c r="I17" s="45"/>
      <c r="J17" s="45"/>
      <c r="K17" s="45"/>
    </row>
    <row r="18">
      <c r="A18" s="54" t="s">
        <v>379</v>
      </c>
      <c r="B18" s="94"/>
      <c r="C18" s="94"/>
      <c r="D18" s="94"/>
      <c r="E18" s="96"/>
      <c r="F18" s="45"/>
      <c r="G18" s="45"/>
      <c r="H18" s="45"/>
      <c r="I18" s="45"/>
      <c r="J18" s="45"/>
      <c r="K18" s="45"/>
    </row>
    <row r="19">
      <c r="A19" s="54" t="s">
        <v>381</v>
      </c>
      <c r="B19" s="94"/>
      <c r="C19" s="94"/>
      <c r="D19" s="94"/>
      <c r="E19" s="96"/>
      <c r="F19" s="45"/>
      <c r="G19" s="45"/>
      <c r="H19" s="45"/>
      <c r="I19" s="45"/>
      <c r="J19" s="45"/>
      <c r="K19" s="45"/>
    </row>
    <row r="20" ht="15.75" customHeight="1">
      <c r="A20" s="54" t="s">
        <v>382</v>
      </c>
      <c r="B20" s="94"/>
      <c r="C20" s="94"/>
      <c r="D20" s="94"/>
      <c r="E20" s="96"/>
      <c r="F20" s="45"/>
      <c r="G20" s="45"/>
      <c r="H20" s="45"/>
      <c r="I20" s="45"/>
      <c r="J20" s="45"/>
      <c r="K20" s="45"/>
    </row>
    <row r="21" ht="15.75" customHeight="1">
      <c r="A21" s="305" t="s">
        <v>298</v>
      </c>
      <c r="D21" s="45"/>
      <c r="E21" s="204"/>
      <c r="F21" s="45"/>
      <c r="G21" s="45"/>
      <c r="H21" s="45"/>
      <c r="I21" s="45"/>
      <c r="J21" s="45"/>
      <c r="K21" s="45"/>
    </row>
    <row r="22" ht="15.75" customHeight="1">
      <c r="A22" s="171"/>
      <c r="B22" s="37"/>
      <c r="C22" s="37"/>
      <c r="D22" s="206"/>
      <c r="E22" s="207"/>
      <c r="F22" s="45"/>
      <c r="G22" s="45"/>
      <c r="H22" s="45"/>
      <c r="I22" s="45"/>
      <c r="J22" s="45"/>
      <c r="K22" s="45"/>
    </row>
    <row r="23" ht="15.75" customHeight="1">
      <c r="A23" s="181" t="s">
        <v>12</v>
      </c>
      <c r="B23" s="182" t="s">
        <v>16</v>
      </c>
      <c r="C23" s="182" t="s">
        <v>20</v>
      </c>
      <c r="D23" s="183" t="s">
        <v>22</v>
      </c>
      <c r="F23" s="45"/>
      <c r="G23" s="45"/>
      <c r="H23" s="45"/>
      <c r="I23" s="45"/>
      <c r="J23" s="45"/>
      <c r="K23" s="45"/>
    </row>
    <row r="24" ht="15.75" customHeight="1">
      <c r="A24" s="50"/>
      <c r="B24" s="210"/>
      <c r="C24" s="212"/>
      <c r="D24" s="62"/>
      <c r="E24" s="14"/>
      <c r="F24" s="45"/>
      <c r="G24" s="45"/>
      <c r="H24" s="45"/>
      <c r="I24" s="45"/>
      <c r="J24" s="45"/>
      <c r="K24" s="45"/>
    </row>
    <row r="25" ht="15.75" customHeight="1">
      <c r="A25" s="54"/>
      <c r="B25" s="215"/>
      <c r="C25" s="217"/>
      <c r="D25" s="69"/>
      <c r="E25" s="70"/>
      <c r="F25" s="45"/>
      <c r="G25" s="45"/>
      <c r="H25" s="45"/>
      <c r="I25" s="45"/>
      <c r="J25" s="45"/>
      <c r="K25" s="45"/>
    </row>
    <row r="26" ht="15.75" customHeight="1">
      <c r="A26" s="54"/>
      <c r="B26" s="215"/>
      <c r="C26" s="217"/>
      <c r="D26" s="69"/>
      <c r="E26" s="185"/>
      <c r="F26" s="45"/>
      <c r="G26" s="45"/>
      <c r="H26" s="45"/>
      <c r="I26" s="45"/>
      <c r="J26" s="45"/>
      <c r="K26" s="45"/>
    </row>
    <row r="27" ht="15.75" customHeight="1">
      <c r="A27" s="54"/>
      <c r="B27" s="215"/>
      <c r="C27" s="217"/>
      <c r="D27" s="69"/>
      <c r="E27" s="185"/>
      <c r="F27" s="45"/>
      <c r="G27" s="45"/>
      <c r="H27" s="45"/>
      <c r="I27" s="45"/>
      <c r="J27" s="45"/>
      <c r="K27" s="45"/>
    </row>
    <row r="28" ht="15.75" customHeight="1">
      <c r="A28" s="54"/>
      <c r="B28" s="215"/>
      <c r="C28" s="217"/>
      <c r="D28" s="69"/>
      <c r="E28" s="185"/>
      <c r="F28" s="45"/>
      <c r="G28" s="45"/>
      <c r="H28" s="45"/>
      <c r="I28" s="45"/>
      <c r="J28" s="45"/>
      <c r="K28" s="45"/>
    </row>
    <row r="29" ht="15.75" customHeight="1">
      <c r="A29" s="54"/>
      <c r="B29" s="215"/>
      <c r="C29" s="217"/>
      <c r="D29" s="69"/>
      <c r="E29" s="185"/>
      <c r="F29" s="45"/>
      <c r="G29" s="45"/>
      <c r="H29" s="45"/>
      <c r="I29" s="45"/>
      <c r="J29" s="45"/>
      <c r="K29" s="45"/>
    </row>
    <row r="30" ht="15.75" customHeight="1">
      <c r="A30" s="54"/>
      <c r="B30" s="215"/>
      <c r="C30" s="217"/>
      <c r="D30" s="69"/>
      <c r="E30" s="222"/>
      <c r="F30" s="45"/>
      <c r="G30" s="45"/>
      <c r="H30" s="45"/>
      <c r="I30" s="45"/>
      <c r="J30" s="45"/>
      <c r="K30" s="45"/>
    </row>
    <row r="31" ht="15.75" customHeight="1">
      <c r="A31" s="54"/>
      <c r="B31" s="215"/>
      <c r="C31" s="217"/>
      <c r="D31" s="69"/>
      <c r="E31" s="185"/>
      <c r="F31" s="45"/>
      <c r="G31" s="45"/>
      <c r="H31" s="45"/>
      <c r="I31" s="45"/>
      <c r="J31" s="45"/>
      <c r="K31" s="45"/>
    </row>
    <row r="32" ht="15.75" customHeight="1">
      <c r="A32" s="54"/>
      <c r="B32" s="227"/>
      <c r="C32" s="217"/>
      <c r="D32" s="69"/>
      <c r="E32" s="222"/>
      <c r="F32" s="45"/>
      <c r="G32" s="45"/>
      <c r="H32" s="45"/>
      <c r="I32" s="45"/>
      <c r="J32" s="45"/>
      <c r="K32" s="45"/>
    </row>
    <row r="33" ht="15.75" customHeight="1">
      <c r="A33" s="54"/>
      <c r="B33" s="215"/>
      <c r="C33" s="217"/>
      <c r="D33" s="69"/>
      <c r="E33" s="185"/>
      <c r="F33" s="45"/>
      <c r="G33" s="45"/>
      <c r="H33" s="45"/>
      <c r="I33" s="45"/>
      <c r="J33" s="45"/>
      <c r="K33" s="45"/>
    </row>
    <row r="34" ht="15.75" customHeight="1">
      <c r="A34" s="229"/>
      <c r="B34" s="121"/>
      <c r="C34" s="127"/>
      <c r="D34" s="69"/>
      <c r="E34" s="185"/>
      <c r="F34" s="45"/>
      <c r="G34" s="45"/>
      <c r="H34" s="45"/>
      <c r="I34" s="45"/>
      <c r="J34" s="45"/>
      <c r="K34" s="45"/>
    </row>
    <row r="35" ht="15.75" customHeight="1">
      <c r="A35" s="229"/>
      <c r="B35" s="121"/>
      <c r="C35" s="127"/>
      <c r="D35" s="69"/>
      <c r="E35" s="185"/>
      <c r="F35" s="45"/>
      <c r="G35" s="45"/>
      <c r="H35" s="45"/>
      <c r="I35" s="45"/>
      <c r="J35" s="45"/>
      <c r="K35" s="45"/>
    </row>
    <row r="36" ht="15.75" customHeight="1">
      <c r="A36" s="175" t="s">
        <v>62</v>
      </c>
      <c r="B36" s="232"/>
      <c r="C36" s="234"/>
      <c r="D36" s="87"/>
      <c r="E36" s="176"/>
      <c r="F36" s="45"/>
      <c r="G36" s="45"/>
      <c r="H36" s="45"/>
      <c r="I36" s="45"/>
      <c r="J36" s="45"/>
      <c r="K36" s="45"/>
    </row>
    <row r="37" ht="15.75" customHeight="1">
      <c r="A37" s="175" t="s">
        <v>64</v>
      </c>
      <c r="B37" s="237"/>
      <c r="C37" s="238"/>
      <c r="D37" s="87"/>
      <c r="E37" s="176"/>
      <c r="F37" s="45"/>
      <c r="G37" s="45"/>
      <c r="H37" s="45"/>
      <c r="I37" s="45"/>
      <c r="J37" s="45"/>
      <c r="K37" s="45"/>
    </row>
    <row r="38" ht="15.75" customHeight="1">
      <c r="A38" s="54"/>
      <c r="B38" s="118"/>
      <c r="C38" s="120"/>
      <c r="D38" s="121"/>
      <c r="E38" s="239"/>
      <c r="F38" s="45"/>
      <c r="G38" s="45"/>
      <c r="H38" s="45"/>
      <c r="I38" s="45"/>
      <c r="J38" s="45"/>
      <c r="K38" s="45"/>
    </row>
    <row r="39" ht="15.75" customHeight="1">
      <c r="A39" s="54"/>
      <c r="B39" s="118"/>
      <c r="C39" s="120"/>
      <c r="D39" s="121"/>
      <c r="E39" s="239"/>
      <c r="F39" s="45"/>
      <c r="G39" s="45"/>
      <c r="H39" s="45"/>
      <c r="I39" s="45"/>
      <c r="J39" s="45"/>
      <c r="K39" s="45"/>
    </row>
    <row r="40" ht="15.75" customHeight="1">
      <c r="A40" s="54"/>
      <c r="B40" s="118"/>
      <c r="C40" s="120"/>
      <c r="D40" s="121"/>
      <c r="E40" s="239"/>
      <c r="F40" s="45"/>
      <c r="G40" s="45"/>
      <c r="H40" s="45"/>
      <c r="I40" s="45"/>
      <c r="J40" s="45"/>
      <c r="K40" s="45"/>
    </row>
    <row r="41" ht="15.75" customHeight="1">
      <c r="A41" s="54"/>
      <c r="B41" s="118"/>
      <c r="C41" s="120"/>
      <c r="D41" s="121"/>
      <c r="E41" s="239"/>
      <c r="F41" s="45"/>
      <c r="G41" s="45"/>
      <c r="H41" s="45"/>
      <c r="I41" s="45"/>
      <c r="J41" s="45"/>
      <c r="K41" s="45"/>
    </row>
    <row r="42" ht="15.75" customHeight="1">
      <c r="A42" s="54"/>
      <c r="B42" s="118"/>
      <c r="C42" s="120"/>
      <c r="D42" s="121"/>
      <c r="E42" s="239"/>
      <c r="F42" s="45"/>
      <c r="G42" s="45"/>
      <c r="H42" s="45"/>
      <c r="I42" s="45"/>
      <c r="J42" s="45"/>
      <c r="K42" s="45"/>
    </row>
    <row r="43" ht="15.75" customHeight="1">
      <c r="A43" s="58"/>
      <c r="B43" s="241"/>
      <c r="C43" s="242"/>
      <c r="D43" s="244"/>
      <c r="E43" s="246"/>
      <c r="F43" s="45"/>
      <c r="G43" s="45"/>
      <c r="H43" s="45"/>
      <c r="I43" s="45"/>
      <c r="J43" s="45"/>
      <c r="K43" s="45"/>
    </row>
    <row r="44" ht="15.75" customHeight="1">
      <c r="A44" s="79"/>
      <c r="B44" s="118"/>
      <c r="C44" s="120"/>
      <c r="D44" s="121"/>
      <c r="E44" s="121"/>
      <c r="F44" s="45"/>
      <c r="G44" s="45"/>
      <c r="H44" s="45"/>
      <c r="I44" s="45"/>
      <c r="J44" s="45"/>
      <c r="K44" s="45"/>
    </row>
    <row r="45" ht="15.75" customHeight="1">
      <c r="A45" s="28"/>
      <c r="D45" s="121"/>
      <c r="E45" s="121"/>
      <c r="F45" s="45"/>
      <c r="G45" s="45"/>
      <c r="H45" s="45"/>
      <c r="I45" s="45"/>
      <c r="J45" s="45"/>
      <c r="K45" s="4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mergeCells count="12">
    <mergeCell ref="A21:C21"/>
    <mergeCell ref="D23:E23"/>
    <mergeCell ref="D24:E24"/>
    <mergeCell ref="D25:E25"/>
    <mergeCell ref="A45:C45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255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3" t="s">
        <v>375</v>
      </c>
      <c r="B3" s="12"/>
      <c r="C3" s="12"/>
      <c r="D3" s="12"/>
      <c r="E3" s="264"/>
      <c r="F3" s="4"/>
      <c r="G3" s="4"/>
      <c r="H3" s="4"/>
      <c r="I3" s="4"/>
      <c r="J3" s="4"/>
      <c r="K3" s="4"/>
    </row>
    <row r="4" ht="18.0" customHeight="1">
      <c r="A4" s="224" t="s">
        <v>258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376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176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65" t="s">
        <v>377</v>
      </c>
      <c r="B7" s="37"/>
      <c r="C7" s="37"/>
      <c r="D7" s="179"/>
      <c r="E7" s="267"/>
      <c r="F7" s="25"/>
      <c r="G7" s="25"/>
      <c r="H7" s="25"/>
      <c r="I7" s="25"/>
      <c r="J7" s="25"/>
      <c r="K7" s="25"/>
    </row>
    <row r="8">
      <c r="A8" s="268" t="s">
        <v>12</v>
      </c>
      <c r="B8" s="182" t="s">
        <v>16</v>
      </c>
      <c r="C8" s="182" t="s">
        <v>20</v>
      </c>
      <c r="D8" s="183" t="s">
        <v>22</v>
      </c>
      <c r="E8" s="235"/>
      <c r="F8" s="45"/>
      <c r="G8" s="45"/>
      <c r="H8" s="45"/>
      <c r="I8" s="45"/>
      <c r="J8" s="45"/>
      <c r="K8" s="45"/>
    </row>
    <row r="9">
      <c r="A9" s="269" t="s">
        <v>380</v>
      </c>
      <c r="B9" s="59">
        <v>50.0</v>
      </c>
      <c r="C9" s="218" t="s">
        <v>25</v>
      </c>
      <c r="D9" s="62"/>
      <c r="E9" s="270"/>
      <c r="F9" s="45"/>
      <c r="G9" s="45"/>
      <c r="H9" s="45"/>
      <c r="I9" s="45"/>
      <c r="J9" s="45"/>
      <c r="K9" s="45"/>
    </row>
    <row r="10">
      <c r="A10" s="83" t="s">
        <v>383</v>
      </c>
      <c r="B10" s="65">
        <v>25.0</v>
      </c>
      <c r="C10" s="74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384</v>
      </c>
      <c r="B11" s="65">
        <v>20.0</v>
      </c>
      <c r="C11" s="74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 t="s">
        <v>41</v>
      </c>
      <c r="B12" s="65">
        <v>15.0</v>
      </c>
      <c r="C12" s="74" t="s">
        <v>25</v>
      </c>
      <c r="D12" s="69"/>
      <c r="E12" s="240"/>
      <c r="F12" s="45"/>
      <c r="G12" s="45"/>
      <c r="H12" s="45"/>
      <c r="I12" s="45"/>
      <c r="J12" s="45"/>
      <c r="K12" s="45"/>
    </row>
    <row r="13">
      <c r="A13" s="83" t="s">
        <v>385</v>
      </c>
      <c r="B13" s="65">
        <v>10.0</v>
      </c>
      <c r="C13" s="74" t="s">
        <v>112</v>
      </c>
      <c r="D13" s="69"/>
      <c r="E13" s="235"/>
      <c r="F13" s="45"/>
      <c r="G13" s="45"/>
      <c r="H13" s="45"/>
      <c r="I13" s="45"/>
      <c r="J13" s="45"/>
      <c r="K13" s="45"/>
    </row>
    <row r="14">
      <c r="A14" s="225"/>
      <c r="B14" s="5"/>
      <c r="C14" s="67"/>
      <c r="D14" s="69"/>
      <c r="E14" s="245"/>
      <c r="F14" s="45"/>
      <c r="G14" s="45"/>
      <c r="H14" s="45"/>
      <c r="I14" s="45"/>
      <c r="J14" s="45"/>
      <c r="K14" s="45"/>
    </row>
    <row r="15">
      <c r="A15" s="276"/>
      <c r="B15" s="78"/>
      <c r="C15" s="80"/>
      <c r="D15" s="81"/>
      <c r="E15" s="279"/>
      <c r="F15" s="45"/>
      <c r="G15" s="45"/>
      <c r="H15" s="45"/>
      <c r="I15" s="45"/>
      <c r="J15" s="45"/>
      <c r="K15" s="45"/>
    </row>
    <row r="16">
      <c r="A16" s="280" t="s">
        <v>48</v>
      </c>
      <c r="B16" s="195"/>
      <c r="C16" s="195"/>
      <c r="D16" s="197"/>
      <c r="E16" s="283"/>
      <c r="F16" s="45"/>
      <c r="G16" s="45"/>
      <c r="H16" s="45"/>
      <c r="I16" s="45"/>
      <c r="J16" s="45"/>
      <c r="K16" s="45"/>
    </row>
    <row r="17">
      <c r="A17" s="269" t="s">
        <v>386</v>
      </c>
      <c r="B17" s="88"/>
      <c r="C17" s="88"/>
      <c r="D17" s="88"/>
      <c r="E17" s="287"/>
      <c r="F17" s="45"/>
      <c r="G17" s="45"/>
      <c r="H17" s="45"/>
      <c r="I17" s="45"/>
      <c r="J17" s="45"/>
      <c r="K17" s="45"/>
    </row>
    <row r="18">
      <c r="A18" s="83" t="s">
        <v>387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>
      <c r="A19" s="83" t="s">
        <v>388</v>
      </c>
      <c r="B19" s="94"/>
      <c r="C19" s="94"/>
      <c r="D19" s="94"/>
      <c r="E19" s="248"/>
      <c r="F19" s="45"/>
      <c r="G19" s="45"/>
      <c r="H19" s="45"/>
      <c r="I19" s="45"/>
      <c r="J19" s="45"/>
      <c r="K19" s="45"/>
    </row>
    <row r="20" ht="15.75" customHeight="1">
      <c r="A20" s="83" t="s">
        <v>389</v>
      </c>
      <c r="B20" s="94"/>
      <c r="C20" s="94"/>
      <c r="D20" s="94"/>
      <c r="E20" s="248"/>
      <c r="F20" s="45"/>
      <c r="G20" s="45"/>
      <c r="H20" s="45"/>
      <c r="I20" s="45"/>
      <c r="J20" s="45"/>
      <c r="K20" s="45"/>
    </row>
    <row r="21" ht="15.75" customHeight="1">
      <c r="A21" s="273" t="s">
        <v>298</v>
      </c>
      <c r="D21" s="45"/>
      <c r="E21" s="219"/>
      <c r="F21" s="45"/>
      <c r="G21" s="45"/>
      <c r="H21" s="45"/>
      <c r="I21" s="45"/>
      <c r="J21" s="45"/>
      <c r="K21" s="45"/>
    </row>
    <row r="22" ht="15.75" customHeight="1">
      <c r="A22" s="265"/>
      <c r="B22" s="37"/>
      <c r="C22" s="37"/>
      <c r="D22" s="206"/>
      <c r="E22" s="289"/>
      <c r="F22" s="45"/>
      <c r="G22" s="45"/>
      <c r="H22" s="45"/>
      <c r="I22" s="45"/>
      <c r="J22" s="45"/>
      <c r="K22" s="45"/>
    </row>
    <row r="23" ht="15.75" customHeight="1">
      <c r="A23" s="201"/>
      <c r="B23" s="28"/>
      <c r="C23" s="28"/>
      <c r="D23" s="45"/>
      <c r="E23" s="219"/>
      <c r="F23" s="45"/>
      <c r="G23" s="45"/>
      <c r="H23" s="45"/>
      <c r="I23" s="45"/>
      <c r="J23" s="45"/>
      <c r="K23" s="45"/>
    </row>
    <row r="24" ht="15.75" customHeight="1">
      <c r="A24" s="201" t="s">
        <v>390</v>
      </c>
      <c r="B24" s="28"/>
      <c r="C24" s="28"/>
      <c r="D24" s="45"/>
      <c r="E24" s="312" t="s">
        <v>391</v>
      </c>
      <c r="F24" s="45"/>
      <c r="G24" s="45"/>
      <c r="H24" s="45"/>
      <c r="I24" s="45"/>
      <c r="J24" s="45"/>
      <c r="K24" s="45"/>
    </row>
    <row r="25" ht="15.75" customHeight="1">
      <c r="A25" s="268" t="s">
        <v>12</v>
      </c>
      <c r="B25" s="182" t="s">
        <v>16</v>
      </c>
      <c r="C25" s="182" t="s">
        <v>20</v>
      </c>
      <c r="D25" s="183" t="s">
        <v>22</v>
      </c>
      <c r="E25" s="235"/>
      <c r="F25" s="45"/>
      <c r="G25" s="45"/>
      <c r="H25" s="45"/>
      <c r="I25" s="45"/>
      <c r="J25" s="45"/>
      <c r="K25" s="45"/>
    </row>
    <row r="26" ht="15.75" customHeight="1">
      <c r="A26" s="269" t="s">
        <v>392</v>
      </c>
      <c r="B26" s="210">
        <v>250.0</v>
      </c>
      <c r="C26" s="212" t="s">
        <v>25</v>
      </c>
      <c r="D26" s="62"/>
      <c r="E26" s="270"/>
      <c r="F26" s="45"/>
      <c r="G26" s="45"/>
      <c r="H26" s="45"/>
      <c r="I26" s="45"/>
      <c r="J26" s="45"/>
      <c r="K26" s="45"/>
    </row>
    <row r="27" ht="15.75" customHeight="1">
      <c r="A27" s="83" t="s">
        <v>393</v>
      </c>
      <c r="B27" s="215">
        <v>150.0</v>
      </c>
      <c r="C27" s="217" t="s">
        <v>112</v>
      </c>
      <c r="D27" s="69"/>
      <c r="E27" s="235"/>
      <c r="F27" s="45"/>
      <c r="G27" s="45"/>
      <c r="H27" s="45"/>
      <c r="I27" s="45"/>
      <c r="J27" s="45"/>
      <c r="K27" s="45"/>
    </row>
    <row r="28" ht="15.75" customHeight="1">
      <c r="A28" s="83" t="s">
        <v>109</v>
      </c>
      <c r="B28" s="215">
        <v>300.0</v>
      </c>
      <c r="C28" s="217" t="s">
        <v>25</v>
      </c>
      <c r="D28" s="69"/>
      <c r="E28" s="245"/>
      <c r="F28" s="45"/>
      <c r="G28" s="45"/>
      <c r="H28" s="45"/>
      <c r="I28" s="45"/>
      <c r="J28" s="45"/>
      <c r="K28" s="45"/>
    </row>
    <row r="29" ht="15.75" customHeight="1">
      <c r="A29" s="313"/>
      <c r="B29" s="121"/>
      <c r="C29" s="127"/>
      <c r="D29" s="69"/>
      <c r="E29" s="245"/>
      <c r="F29" s="45"/>
      <c r="G29" s="45"/>
      <c r="H29" s="45"/>
      <c r="I29" s="45"/>
      <c r="J29" s="45"/>
      <c r="K29" s="45"/>
    </row>
    <row r="30" ht="15.75" customHeight="1">
      <c r="A30" s="230" t="s">
        <v>62</v>
      </c>
      <c r="B30" s="232"/>
      <c r="C30" s="234"/>
      <c r="D30" s="87"/>
      <c r="E30" s="231"/>
      <c r="F30" s="45"/>
      <c r="G30" s="45"/>
      <c r="H30" s="45"/>
      <c r="I30" s="45"/>
      <c r="J30" s="45"/>
      <c r="K30" s="45"/>
    </row>
    <row r="31" ht="15.75" customHeight="1">
      <c r="A31" s="230" t="s">
        <v>64</v>
      </c>
      <c r="B31" s="237"/>
      <c r="C31" s="238"/>
      <c r="D31" s="87"/>
      <c r="E31" s="231"/>
      <c r="F31" s="45"/>
      <c r="G31" s="45"/>
      <c r="H31" s="45"/>
      <c r="I31" s="45"/>
      <c r="J31" s="45"/>
      <c r="K31" s="45"/>
    </row>
    <row r="32" ht="15.75" customHeight="1">
      <c r="A32" s="83" t="s">
        <v>394</v>
      </c>
      <c r="B32" s="118"/>
      <c r="C32" s="120"/>
      <c r="D32" s="121"/>
      <c r="E32" s="303"/>
      <c r="F32" s="45"/>
      <c r="G32" s="45"/>
      <c r="H32" s="45"/>
      <c r="I32" s="45"/>
      <c r="J32" s="45"/>
      <c r="K32" s="45"/>
    </row>
    <row r="33" ht="15.75" customHeight="1">
      <c r="A33" s="83" t="s">
        <v>395</v>
      </c>
      <c r="B33" s="118"/>
      <c r="C33" s="120"/>
      <c r="D33" s="121"/>
      <c r="E33" s="303"/>
      <c r="F33" s="45"/>
      <c r="G33" s="45"/>
      <c r="H33" s="45"/>
      <c r="I33" s="45"/>
      <c r="J33" s="45"/>
      <c r="K33" s="45"/>
    </row>
    <row r="34" ht="15.75" customHeight="1">
      <c r="A34" s="83" t="s">
        <v>396</v>
      </c>
      <c r="B34" s="118"/>
      <c r="C34" s="120"/>
      <c r="D34" s="121"/>
      <c r="E34" s="303"/>
      <c r="F34" s="45"/>
      <c r="G34" s="45"/>
      <c r="H34" s="45"/>
      <c r="I34" s="45"/>
      <c r="J34" s="45"/>
      <c r="K34" s="45"/>
    </row>
    <row r="35" ht="15.75" customHeight="1">
      <c r="A35" s="83" t="s">
        <v>397</v>
      </c>
      <c r="B35" s="118"/>
      <c r="C35" s="120"/>
      <c r="D35" s="121"/>
      <c r="E35" s="303"/>
      <c r="F35" s="45"/>
      <c r="G35" s="45"/>
      <c r="H35" s="45"/>
      <c r="I35" s="45"/>
      <c r="J35" s="45"/>
      <c r="K35" s="45"/>
    </row>
    <row r="36" ht="15.75" customHeight="1">
      <c r="A36" s="83"/>
      <c r="B36" s="118"/>
      <c r="C36" s="120"/>
      <c r="D36" s="121"/>
      <c r="E36" s="303"/>
      <c r="F36" s="45"/>
      <c r="G36" s="45"/>
      <c r="H36" s="45"/>
      <c r="I36" s="45"/>
      <c r="J36" s="45"/>
      <c r="K36" s="45"/>
    </row>
    <row r="37" ht="15.75" customHeight="1">
      <c r="A37" s="201" t="s">
        <v>398</v>
      </c>
      <c r="B37" s="28"/>
      <c r="C37" s="28"/>
      <c r="D37" s="45"/>
      <c r="E37" s="312" t="s">
        <v>399</v>
      </c>
      <c r="F37" s="45"/>
      <c r="G37" s="45"/>
      <c r="H37" s="45"/>
      <c r="I37" s="45"/>
      <c r="J37" s="45"/>
      <c r="K37" s="45"/>
    </row>
    <row r="38" ht="15.75" customHeight="1">
      <c r="A38" s="268" t="s">
        <v>12</v>
      </c>
      <c r="B38" s="182" t="s">
        <v>16</v>
      </c>
      <c r="C38" s="182" t="s">
        <v>20</v>
      </c>
      <c r="D38" s="183" t="s">
        <v>22</v>
      </c>
      <c r="E38" s="235"/>
      <c r="F38" s="45"/>
      <c r="G38" s="45"/>
      <c r="H38" s="45"/>
      <c r="I38" s="45"/>
      <c r="J38" s="45"/>
      <c r="K38" s="45"/>
    </row>
    <row r="39" ht="15.75" customHeight="1">
      <c r="A39" s="269" t="s">
        <v>401</v>
      </c>
      <c r="B39" s="210">
        <v>400.0</v>
      </c>
      <c r="C39" s="212" t="s">
        <v>112</v>
      </c>
      <c r="D39" s="315" t="s">
        <v>403</v>
      </c>
      <c r="E39" s="270"/>
      <c r="F39" s="45"/>
      <c r="G39" s="45"/>
      <c r="H39" s="45"/>
      <c r="I39" s="45"/>
      <c r="J39" s="45"/>
      <c r="K39" s="45"/>
    </row>
    <row r="40" ht="15.75" customHeight="1">
      <c r="A40" s="83" t="s">
        <v>109</v>
      </c>
      <c r="B40" s="215">
        <v>400.0</v>
      </c>
      <c r="C40" s="217" t="s">
        <v>25</v>
      </c>
      <c r="D40" s="69"/>
      <c r="E40" s="235"/>
    </row>
    <row r="41" ht="15.75" customHeight="1">
      <c r="A41" s="313"/>
      <c r="B41" s="121"/>
      <c r="C41" s="127"/>
      <c r="D41" s="69"/>
      <c r="E41" s="245"/>
    </row>
    <row r="42" ht="15.75" customHeight="1">
      <c r="A42" s="230" t="s">
        <v>62</v>
      </c>
      <c r="B42" s="232"/>
      <c r="C42" s="234"/>
      <c r="D42" s="87"/>
      <c r="E42" s="231"/>
    </row>
    <row r="43" ht="15.75" customHeight="1">
      <c r="A43" s="230" t="s">
        <v>64</v>
      </c>
      <c r="B43" s="237"/>
      <c r="C43" s="238"/>
      <c r="D43" s="87"/>
      <c r="E43" s="231"/>
    </row>
    <row r="44" ht="15.75" customHeight="1">
      <c r="A44" s="83" t="s">
        <v>410</v>
      </c>
      <c r="B44" s="118"/>
      <c r="C44" s="120"/>
      <c r="D44" s="121"/>
      <c r="E44" s="303"/>
    </row>
    <row r="45" ht="15.75" customHeight="1">
      <c r="A45" s="83" t="s">
        <v>412</v>
      </c>
      <c r="B45" s="118"/>
      <c r="C45" s="120"/>
      <c r="D45" s="121"/>
      <c r="E45" s="303"/>
    </row>
    <row r="46" ht="15.75" customHeight="1">
      <c r="A46" s="83" t="s">
        <v>413</v>
      </c>
      <c r="B46" s="118"/>
      <c r="C46" s="120"/>
      <c r="D46" s="121"/>
      <c r="E46" s="303"/>
    </row>
    <row r="47" ht="15.75" customHeight="1">
      <c r="A47" s="83"/>
      <c r="B47" s="118"/>
      <c r="C47" s="120"/>
      <c r="D47" s="121"/>
      <c r="E47" s="303"/>
    </row>
    <row r="48" ht="15.75" customHeight="1">
      <c r="A48" s="83"/>
      <c r="B48" s="118"/>
      <c r="C48" s="120"/>
      <c r="D48" s="121"/>
      <c r="E48" s="303"/>
    </row>
    <row r="49" ht="15.75" customHeight="1">
      <c r="A49" s="281"/>
      <c r="B49" s="293"/>
      <c r="C49" s="294"/>
      <c r="D49" s="295"/>
      <c r="E49" s="296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4">
    <mergeCell ref="A21:C21"/>
    <mergeCell ref="D25:E25"/>
    <mergeCell ref="D26:E26"/>
    <mergeCell ref="D27:E27"/>
    <mergeCell ref="D38:E38"/>
    <mergeCell ref="D39:E39"/>
    <mergeCell ref="D40:E40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314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2" t="s">
        <v>400</v>
      </c>
      <c r="E3" s="226"/>
      <c r="F3" s="4"/>
      <c r="G3" s="4"/>
      <c r="H3" s="4"/>
      <c r="I3" s="4"/>
      <c r="J3" s="4"/>
      <c r="K3" s="4"/>
    </row>
    <row r="4" ht="18.0" customHeight="1">
      <c r="A4" s="224" t="s">
        <v>258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402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14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01" t="s">
        <v>404</v>
      </c>
      <c r="B7" s="28"/>
      <c r="C7" s="28"/>
      <c r="D7" s="21"/>
      <c r="E7" s="226"/>
      <c r="F7" s="25"/>
      <c r="G7" s="25"/>
      <c r="H7" s="25"/>
      <c r="I7" s="25"/>
      <c r="J7" s="25"/>
      <c r="K7" s="25"/>
    </row>
    <row r="8">
      <c r="A8" s="208" t="s">
        <v>12</v>
      </c>
      <c r="B8" s="211" t="s">
        <v>16</v>
      </c>
      <c r="C8" s="211" t="s">
        <v>20</v>
      </c>
      <c r="D8" s="213" t="s">
        <v>22</v>
      </c>
      <c r="E8" s="235"/>
      <c r="F8" s="45"/>
      <c r="G8" s="45"/>
      <c r="H8" s="45"/>
      <c r="I8" s="45"/>
      <c r="J8" s="45"/>
      <c r="K8" s="45"/>
    </row>
    <row r="9">
      <c r="A9" s="83" t="s">
        <v>405</v>
      </c>
      <c r="B9" s="65">
        <v>50.0</v>
      </c>
      <c r="C9" s="74" t="s">
        <v>25</v>
      </c>
      <c r="D9" s="69"/>
      <c r="E9" s="235"/>
      <c r="F9" s="45"/>
      <c r="G9" s="45"/>
      <c r="H9" s="45"/>
      <c r="I9" s="45"/>
      <c r="J9" s="45"/>
      <c r="K9" s="45"/>
    </row>
    <row r="10">
      <c r="A10" s="83" t="s">
        <v>406</v>
      </c>
      <c r="B10" s="65">
        <v>15.0</v>
      </c>
      <c r="C10" s="74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407</v>
      </c>
      <c r="B11" s="65">
        <v>20.0</v>
      </c>
      <c r="C11" s="74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 t="s">
        <v>408</v>
      </c>
      <c r="B12" s="65">
        <v>2.0</v>
      </c>
      <c r="C12" s="74" t="s">
        <v>409</v>
      </c>
      <c r="D12" s="69"/>
      <c r="E12" s="240"/>
      <c r="F12" s="45"/>
      <c r="G12" s="45"/>
      <c r="H12" s="45"/>
      <c r="I12" s="45"/>
      <c r="J12" s="45"/>
      <c r="K12" s="45"/>
    </row>
    <row r="13">
      <c r="A13" s="83" t="s">
        <v>411</v>
      </c>
      <c r="B13" s="65">
        <v>2.0</v>
      </c>
      <c r="C13" s="74" t="s">
        <v>409</v>
      </c>
      <c r="D13" s="69"/>
      <c r="E13" s="235"/>
      <c r="F13" s="45"/>
      <c r="G13" s="45"/>
      <c r="H13" s="45"/>
      <c r="I13" s="45"/>
      <c r="J13" s="45"/>
      <c r="K13" s="45"/>
    </row>
    <row r="14">
      <c r="A14" s="225"/>
      <c r="B14" s="5"/>
      <c r="C14" s="67"/>
      <c r="D14" s="69"/>
      <c r="E14" s="245"/>
      <c r="F14" s="45"/>
      <c r="G14" s="45"/>
      <c r="H14" s="45"/>
      <c r="I14" s="45"/>
      <c r="J14" s="45"/>
      <c r="K14" s="45"/>
    </row>
    <row r="15">
      <c r="A15" s="225"/>
      <c r="B15" s="5"/>
      <c r="C15" s="67"/>
      <c r="D15" s="69"/>
      <c r="E15" s="245"/>
      <c r="F15" s="45"/>
      <c r="G15" s="45"/>
      <c r="H15" s="45"/>
      <c r="I15" s="45"/>
      <c r="J15" s="45"/>
      <c r="K15" s="45"/>
    </row>
    <row r="16">
      <c r="A16" s="230" t="s">
        <v>48</v>
      </c>
      <c r="B16" s="86"/>
      <c r="C16" s="86"/>
      <c r="D16" s="87"/>
      <c r="E16" s="231"/>
      <c r="F16" s="45"/>
      <c r="G16" s="45"/>
      <c r="H16" s="45"/>
      <c r="I16" s="45"/>
      <c r="J16" s="45"/>
      <c r="K16" s="45"/>
    </row>
    <row r="17">
      <c r="A17" s="83" t="s">
        <v>414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>
      <c r="A18" s="83" t="s">
        <v>415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>
      <c r="A19" s="83" t="s">
        <v>416</v>
      </c>
      <c r="B19" s="94"/>
      <c r="C19" s="94"/>
      <c r="D19" s="94"/>
      <c r="E19" s="248"/>
      <c r="F19" s="45"/>
      <c r="G19" s="45"/>
      <c r="H19" s="45"/>
      <c r="I19" s="45"/>
      <c r="J19" s="45"/>
      <c r="K19" s="45"/>
    </row>
    <row r="20" ht="15.75" customHeight="1">
      <c r="A20" s="83" t="s">
        <v>417</v>
      </c>
      <c r="B20" s="94"/>
      <c r="C20" s="94"/>
      <c r="D20" s="94"/>
      <c r="E20" s="248"/>
      <c r="F20" s="45"/>
      <c r="G20" s="45"/>
      <c r="H20" s="45"/>
      <c r="I20" s="45"/>
      <c r="J20" s="45"/>
      <c r="K20" s="45"/>
    </row>
    <row r="21" ht="15.75" customHeight="1">
      <c r="A21" s="273" t="s">
        <v>298</v>
      </c>
      <c r="D21" s="45"/>
      <c r="E21" s="219"/>
      <c r="F21" s="45"/>
      <c r="G21" s="45"/>
      <c r="H21" s="45"/>
      <c r="I21" s="45"/>
      <c r="J21" s="45"/>
      <c r="K21" s="45"/>
    </row>
    <row r="22" ht="15.75" customHeight="1">
      <c r="A22" s="201"/>
      <c r="B22" s="28"/>
      <c r="C22" s="28"/>
      <c r="D22" s="45"/>
      <c r="E22" s="219"/>
      <c r="F22" s="45"/>
      <c r="G22" s="45"/>
      <c r="H22" s="45"/>
      <c r="I22" s="45"/>
      <c r="J22" s="45"/>
      <c r="K22" s="45"/>
    </row>
    <row r="23" ht="15.75" customHeight="1">
      <c r="A23" s="224" t="s">
        <v>418</v>
      </c>
      <c r="C23" s="28"/>
      <c r="D23" s="45"/>
      <c r="E23" s="219"/>
      <c r="F23" s="45"/>
      <c r="G23" s="45"/>
      <c r="H23" s="45"/>
      <c r="I23" s="45"/>
      <c r="J23" s="45"/>
      <c r="K23" s="45"/>
    </row>
    <row r="24" ht="15.75" customHeight="1">
      <c r="A24" s="208" t="s">
        <v>12</v>
      </c>
      <c r="B24" s="211" t="s">
        <v>16</v>
      </c>
      <c r="C24" s="211" t="s">
        <v>20</v>
      </c>
      <c r="D24" s="213" t="s">
        <v>22</v>
      </c>
      <c r="E24" s="235"/>
      <c r="F24" s="45"/>
      <c r="G24" s="45"/>
      <c r="H24" s="45"/>
      <c r="I24" s="45"/>
      <c r="J24" s="45"/>
      <c r="K24" s="45"/>
    </row>
    <row r="25" ht="15.75" customHeight="1">
      <c r="A25" s="83" t="s">
        <v>419</v>
      </c>
      <c r="B25" s="215">
        <v>700.0</v>
      </c>
      <c r="C25" s="217" t="s">
        <v>25</v>
      </c>
      <c r="D25" s="266" t="s">
        <v>420</v>
      </c>
      <c r="E25" s="235"/>
      <c r="F25" s="45"/>
      <c r="G25" s="45"/>
      <c r="H25" s="45"/>
      <c r="I25" s="45"/>
      <c r="J25" s="45"/>
      <c r="K25" s="45"/>
    </row>
    <row r="26" ht="15.75" customHeight="1">
      <c r="A26" s="83" t="s">
        <v>421</v>
      </c>
      <c r="B26" s="215">
        <v>20.0</v>
      </c>
      <c r="C26" s="217" t="s">
        <v>25</v>
      </c>
      <c r="D26" s="69"/>
      <c r="E26" s="235"/>
      <c r="F26" s="45"/>
      <c r="G26" s="45"/>
      <c r="H26" s="45"/>
      <c r="I26" s="45"/>
      <c r="J26" s="45"/>
      <c r="K26" s="45"/>
    </row>
    <row r="27" ht="15.75" customHeight="1">
      <c r="A27" s="83"/>
      <c r="B27" s="215"/>
      <c r="C27" s="217"/>
      <c r="D27" s="69"/>
      <c r="E27" s="245"/>
      <c r="F27" s="45"/>
      <c r="G27" s="45"/>
      <c r="H27" s="45"/>
      <c r="I27" s="45"/>
      <c r="J27" s="45"/>
      <c r="K27" s="45"/>
    </row>
    <row r="28" ht="15.75" customHeight="1">
      <c r="A28" s="83"/>
      <c r="B28" s="215"/>
      <c r="C28" s="217"/>
      <c r="D28" s="69"/>
      <c r="E28" s="245"/>
      <c r="F28" s="45"/>
      <c r="G28" s="45"/>
      <c r="H28" s="45"/>
      <c r="I28" s="45"/>
      <c r="J28" s="45"/>
      <c r="K28" s="45"/>
    </row>
    <row r="29" ht="15.75" customHeight="1">
      <c r="A29" s="230" t="s">
        <v>62</v>
      </c>
      <c r="B29" s="232"/>
      <c r="C29" s="234"/>
      <c r="D29" s="87"/>
      <c r="E29" s="231"/>
      <c r="F29" s="45"/>
      <c r="G29" s="45"/>
      <c r="H29" s="45"/>
      <c r="I29" s="45"/>
      <c r="J29" s="45"/>
      <c r="K29" s="45"/>
    </row>
    <row r="30" ht="15.75" customHeight="1">
      <c r="A30" s="230" t="s">
        <v>64</v>
      </c>
      <c r="B30" s="237"/>
      <c r="C30" s="238"/>
      <c r="D30" s="87"/>
      <c r="E30" s="231"/>
      <c r="F30" s="45"/>
      <c r="G30" s="45"/>
      <c r="H30" s="45"/>
      <c r="I30" s="45"/>
      <c r="J30" s="45"/>
      <c r="K30" s="45"/>
    </row>
    <row r="31" ht="15.75" customHeight="1">
      <c r="A31" s="83" t="s">
        <v>423</v>
      </c>
      <c r="B31" s="118"/>
      <c r="C31" s="120"/>
      <c r="D31" s="121"/>
      <c r="E31" s="303"/>
      <c r="F31" s="45"/>
      <c r="G31" s="45"/>
      <c r="H31" s="45"/>
      <c r="I31" s="45"/>
      <c r="J31" s="45"/>
      <c r="K31" s="45"/>
    </row>
    <row r="32" ht="15.75" customHeight="1">
      <c r="A32" s="83" t="s">
        <v>424</v>
      </c>
      <c r="B32" s="118"/>
      <c r="C32" s="120"/>
      <c r="D32" s="121"/>
      <c r="E32" s="303"/>
      <c r="F32" s="45"/>
      <c r="G32" s="45"/>
      <c r="H32" s="45"/>
      <c r="I32" s="45"/>
      <c r="J32" s="45"/>
      <c r="K32" s="45"/>
    </row>
    <row r="33" ht="15.75" customHeight="1">
      <c r="A33" s="83" t="s">
        <v>426</v>
      </c>
      <c r="B33" s="118"/>
      <c r="C33" s="120"/>
      <c r="D33" s="121"/>
      <c r="E33" s="303"/>
      <c r="F33" s="45"/>
      <c r="G33" s="45"/>
      <c r="H33" s="45"/>
      <c r="I33" s="45"/>
      <c r="J33" s="45"/>
      <c r="K33" s="45"/>
    </row>
    <row r="34" ht="15.75" customHeight="1">
      <c r="A34" s="83" t="s">
        <v>428</v>
      </c>
      <c r="B34" s="118"/>
      <c r="C34" s="120"/>
      <c r="D34" s="121"/>
      <c r="E34" s="303"/>
      <c r="F34" s="45"/>
      <c r="G34" s="45"/>
      <c r="H34" s="45"/>
      <c r="I34" s="45"/>
      <c r="J34" s="45"/>
      <c r="K34" s="45"/>
    </row>
    <row r="35" ht="15.75" customHeight="1">
      <c r="A35" s="83" t="s">
        <v>429</v>
      </c>
      <c r="B35" s="118"/>
      <c r="C35" s="120"/>
      <c r="D35" s="121"/>
      <c r="E35" s="303"/>
      <c r="F35" s="45"/>
      <c r="G35" s="45"/>
      <c r="H35" s="45"/>
      <c r="I35" s="45"/>
      <c r="J35" s="45"/>
      <c r="K35" s="45"/>
    </row>
    <row r="36" ht="15.75" customHeight="1">
      <c r="A36" s="83"/>
      <c r="B36" s="118"/>
      <c r="C36" s="120"/>
      <c r="D36" s="121"/>
      <c r="E36" s="303"/>
      <c r="F36" s="45"/>
      <c r="G36" s="45"/>
      <c r="H36" s="45"/>
      <c r="I36" s="45"/>
      <c r="J36" s="45"/>
      <c r="K36" s="45"/>
    </row>
    <row r="37" ht="15.75" customHeight="1">
      <c r="A37" s="224" t="s">
        <v>431</v>
      </c>
      <c r="C37" s="28"/>
      <c r="D37" s="45"/>
      <c r="E37" s="219"/>
      <c r="F37" s="45"/>
      <c r="G37" s="45"/>
      <c r="H37" s="45"/>
      <c r="I37" s="45"/>
      <c r="J37" s="45"/>
      <c r="K37" s="45"/>
    </row>
    <row r="38" ht="15.75" customHeight="1">
      <c r="A38" s="208" t="s">
        <v>12</v>
      </c>
      <c r="B38" s="211" t="s">
        <v>16</v>
      </c>
      <c r="C38" s="211" t="s">
        <v>20</v>
      </c>
      <c r="D38" s="213" t="s">
        <v>22</v>
      </c>
      <c r="E38" s="235"/>
      <c r="F38" s="45"/>
      <c r="G38" s="45"/>
      <c r="H38" s="45"/>
      <c r="I38" s="45"/>
      <c r="J38" s="45"/>
      <c r="K38" s="45"/>
    </row>
    <row r="39" ht="15.75" customHeight="1">
      <c r="A39" s="83" t="s">
        <v>433</v>
      </c>
      <c r="B39" s="215">
        <v>150.0</v>
      </c>
      <c r="C39" s="217" t="s">
        <v>112</v>
      </c>
      <c r="D39" s="266" t="s">
        <v>420</v>
      </c>
      <c r="E39" s="235"/>
    </row>
    <row r="40" ht="15.75" customHeight="1">
      <c r="A40" s="83" t="s">
        <v>434</v>
      </c>
      <c r="B40" s="215">
        <v>500.0</v>
      </c>
      <c r="C40" s="217" t="s">
        <v>25</v>
      </c>
      <c r="D40" s="69"/>
      <c r="E40" s="235"/>
    </row>
    <row r="41" ht="15.75" customHeight="1">
      <c r="A41" s="83" t="s">
        <v>436</v>
      </c>
      <c r="B41" s="316">
        <v>46143.0</v>
      </c>
      <c r="C41" s="217" t="s">
        <v>112</v>
      </c>
      <c r="D41" s="69"/>
      <c r="E41" s="245"/>
    </row>
    <row r="42" ht="15.75" customHeight="1">
      <c r="A42" s="83"/>
      <c r="B42" s="215"/>
      <c r="C42" s="217"/>
      <c r="D42" s="69"/>
      <c r="E42" s="245"/>
    </row>
    <row r="43" ht="15.75" customHeight="1">
      <c r="A43" s="83"/>
      <c r="B43" s="215"/>
      <c r="C43" s="217"/>
      <c r="D43" s="69"/>
      <c r="E43" s="245"/>
    </row>
    <row r="44" ht="15.75" customHeight="1">
      <c r="A44" s="230" t="s">
        <v>62</v>
      </c>
      <c r="B44" s="232"/>
      <c r="C44" s="234"/>
      <c r="D44" s="87"/>
      <c r="E44" s="231"/>
    </row>
    <row r="45" ht="15.75" customHeight="1">
      <c r="A45" s="230" t="s">
        <v>64</v>
      </c>
      <c r="B45" s="237"/>
      <c r="C45" s="238"/>
      <c r="D45" s="87"/>
      <c r="E45" s="231"/>
    </row>
    <row r="46" ht="15.75" customHeight="1">
      <c r="A46" s="83" t="s">
        <v>438</v>
      </c>
      <c r="B46" s="118"/>
      <c r="C46" s="120"/>
      <c r="D46" s="121"/>
      <c r="E46" s="303"/>
    </row>
    <row r="47" ht="15.75" customHeight="1">
      <c r="A47" s="83" t="s">
        <v>439</v>
      </c>
      <c r="B47" s="118"/>
      <c r="C47" s="120"/>
      <c r="D47" s="121"/>
      <c r="E47" s="303"/>
    </row>
    <row r="48" ht="15.75" customHeight="1">
      <c r="A48" s="83" t="s">
        <v>440</v>
      </c>
      <c r="B48" s="118"/>
      <c r="C48" s="120"/>
      <c r="D48" s="121"/>
      <c r="E48" s="303"/>
    </row>
    <row r="49" ht="15.75" customHeight="1">
      <c r="A49" s="83" t="s">
        <v>441</v>
      </c>
      <c r="B49" s="118"/>
      <c r="C49" s="120"/>
      <c r="D49" s="121"/>
      <c r="E49" s="303"/>
    </row>
    <row r="50" ht="15.75" customHeight="1">
      <c r="A50" s="83" t="s">
        <v>442</v>
      </c>
      <c r="B50" s="118"/>
      <c r="C50" s="120"/>
      <c r="D50" s="121"/>
      <c r="E50" s="303"/>
    </row>
    <row r="51" ht="15.75" customHeight="1">
      <c r="A51" s="83"/>
      <c r="B51" s="118"/>
      <c r="C51" s="120"/>
      <c r="D51" s="121"/>
      <c r="E51" s="303"/>
    </row>
    <row r="52" ht="15.75" customHeight="1">
      <c r="A52" s="224" t="s">
        <v>443</v>
      </c>
      <c r="C52" s="28"/>
      <c r="D52" s="45"/>
      <c r="E52" s="219"/>
    </row>
    <row r="53" ht="15.75" customHeight="1">
      <c r="A53" s="208" t="s">
        <v>12</v>
      </c>
      <c r="B53" s="211" t="s">
        <v>16</v>
      </c>
      <c r="C53" s="211" t="s">
        <v>20</v>
      </c>
      <c r="D53" s="213" t="s">
        <v>22</v>
      </c>
      <c r="E53" s="235"/>
    </row>
    <row r="54" ht="15.75" customHeight="1">
      <c r="A54" s="83" t="s">
        <v>445</v>
      </c>
      <c r="B54" s="215">
        <v>300.0</v>
      </c>
      <c r="C54" s="217" t="s">
        <v>112</v>
      </c>
      <c r="D54" s="266" t="s">
        <v>420</v>
      </c>
      <c r="E54" s="235"/>
    </row>
    <row r="55" ht="15.75" customHeight="1">
      <c r="A55" s="83" t="s">
        <v>393</v>
      </c>
      <c r="B55" s="215">
        <v>120.0</v>
      </c>
      <c r="C55" s="217" t="s">
        <v>112</v>
      </c>
      <c r="D55" s="69"/>
      <c r="E55" s="235"/>
    </row>
    <row r="56" ht="15.75" customHeight="1">
      <c r="A56" s="83" t="s">
        <v>448</v>
      </c>
      <c r="B56" s="215">
        <v>1.0</v>
      </c>
      <c r="C56" s="217" t="s">
        <v>112</v>
      </c>
      <c r="D56" s="69"/>
      <c r="E56" s="245"/>
    </row>
    <row r="57" ht="15.75" customHeight="1">
      <c r="A57" s="83" t="s">
        <v>450</v>
      </c>
      <c r="B57" s="215">
        <v>30.0</v>
      </c>
      <c r="C57" s="217" t="s">
        <v>112</v>
      </c>
      <c r="D57" s="69"/>
      <c r="E57" s="245"/>
    </row>
    <row r="58" ht="15.75" customHeight="1">
      <c r="A58" s="83"/>
      <c r="B58" s="215"/>
      <c r="C58" s="217"/>
      <c r="D58" s="69"/>
      <c r="E58" s="245"/>
    </row>
    <row r="59" ht="15.75" customHeight="1">
      <c r="A59" s="230" t="s">
        <v>62</v>
      </c>
      <c r="B59" s="232"/>
      <c r="C59" s="234"/>
      <c r="D59" s="87"/>
      <c r="E59" s="231"/>
    </row>
    <row r="60" ht="15.75" customHeight="1">
      <c r="A60" s="230" t="s">
        <v>64</v>
      </c>
      <c r="B60" s="237"/>
      <c r="C60" s="238"/>
      <c r="D60" s="87"/>
      <c r="E60" s="231"/>
    </row>
    <row r="61" ht="15.75" customHeight="1">
      <c r="A61" s="83" t="s">
        <v>451</v>
      </c>
      <c r="B61" s="118"/>
      <c r="C61" s="120"/>
      <c r="D61" s="121"/>
      <c r="E61" s="303"/>
    </row>
    <row r="62" ht="15.75" customHeight="1">
      <c r="A62" s="83" t="s">
        <v>453</v>
      </c>
      <c r="B62" s="118"/>
      <c r="C62" s="120"/>
      <c r="D62" s="121"/>
      <c r="E62" s="303"/>
    </row>
    <row r="63" ht="15.75" customHeight="1">
      <c r="A63" s="83" t="s">
        <v>454</v>
      </c>
      <c r="B63" s="118"/>
      <c r="C63" s="120"/>
      <c r="D63" s="121"/>
      <c r="E63" s="303"/>
    </row>
    <row r="64" ht="15.75" customHeight="1">
      <c r="A64" s="83" t="s">
        <v>455</v>
      </c>
      <c r="B64" s="118"/>
      <c r="C64" s="120"/>
      <c r="D64" s="121"/>
      <c r="E64" s="303"/>
    </row>
    <row r="65" ht="15.75" customHeight="1">
      <c r="A65" s="83" t="s">
        <v>457</v>
      </c>
      <c r="B65" s="118"/>
      <c r="C65" s="120"/>
      <c r="D65" s="121"/>
      <c r="E65" s="303"/>
    </row>
    <row r="66" ht="15.75" customHeight="1">
      <c r="A66" s="83"/>
      <c r="B66" s="118"/>
      <c r="C66" s="120"/>
      <c r="D66" s="121"/>
      <c r="E66" s="303"/>
    </row>
    <row r="67" ht="15.75" customHeight="1">
      <c r="A67" s="224" t="s">
        <v>458</v>
      </c>
      <c r="C67" s="28"/>
      <c r="D67" s="45"/>
      <c r="E67" s="219"/>
    </row>
    <row r="68" ht="15.75" customHeight="1">
      <c r="A68" s="208" t="s">
        <v>12</v>
      </c>
      <c r="B68" s="211" t="s">
        <v>16</v>
      </c>
      <c r="C68" s="211" t="s">
        <v>20</v>
      </c>
      <c r="D68" s="213" t="s">
        <v>22</v>
      </c>
      <c r="E68" s="235"/>
    </row>
    <row r="69" ht="15.75" customHeight="1">
      <c r="A69" s="83" t="s">
        <v>459</v>
      </c>
      <c r="B69" s="215">
        <v>1.0</v>
      </c>
      <c r="C69" s="217" t="s">
        <v>118</v>
      </c>
      <c r="D69" s="266"/>
      <c r="E69" s="235"/>
    </row>
    <row r="70" ht="15.75" customHeight="1">
      <c r="A70" s="83" t="s">
        <v>461</v>
      </c>
      <c r="B70" s="215">
        <v>100.0</v>
      </c>
      <c r="C70" s="217" t="s">
        <v>25</v>
      </c>
      <c r="D70" s="69"/>
      <c r="E70" s="235"/>
    </row>
    <row r="71" ht="15.75" customHeight="1">
      <c r="A71" s="83"/>
      <c r="B71" s="215"/>
      <c r="C71" s="217"/>
      <c r="D71" s="69"/>
      <c r="E71" s="245"/>
    </row>
    <row r="72" ht="15.75" customHeight="1">
      <c r="A72" s="230" t="s">
        <v>62</v>
      </c>
      <c r="B72" s="232">
        <v>100.0</v>
      </c>
      <c r="C72" s="234" t="s">
        <v>25</v>
      </c>
      <c r="D72" s="87"/>
      <c r="E72" s="231"/>
    </row>
    <row r="73" ht="15.75" customHeight="1">
      <c r="A73" s="230" t="s">
        <v>64</v>
      </c>
      <c r="B73" s="237"/>
      <c r="C73" s="238"/>
      <c r="D73" s="87"/>
      <c r="E73" s="231"/>
    </row>
    <row r="74" ht="15.75" customHeight="1">
      <c r="A74" s="83" t="s">
        <v>463</v>
      </c>
      <c r="B74" s="118"/>
      <c r="C74" s="120"/>
      <c r="D74" s="121"/>
      <c r="E74" s="303"/>
    </row>
    <row r="75" ht="15.75" customHeight="1">
      <c r="A75" s="83" t="s">
        <v>464</v>
      </c>
      <c r="B75" s="118"/>
      <c r="C75" s="120"/>
      <c r="D75" s="121"/>
      <c r="E75" s="303"/>
    </row>
    <row r="76" ht="15.75" customHeight="1">
      <c r="A76" s="83"/>
      <c r="B76" s="118"/>
      <c r="C76" s="120"/>
      <c r="D76" s="121"/>
      <c r="E76" s="303"/>
    </row>
    <row r="77" ht="15.75" customHeight="1">
      <c r="A77" s="281"/>
      <c r="B77" s="293"/>
      <c r="C77" s="294"/>
      <c r="D77" s="295"/>
      <c r="E77" s="296"/>
    </row>
    <row r="78" ht="15.75" customHeight="1">
      <c r="A78" s="224" t="s">
        <v>466</v>
      </c>
      <c r="C78" s="28"/>
      <c r="D78" s="45"/>
      <c r="E78" s="219"/>
    </row>
    <row r="79" ht="15.75" customHeight="1">
      <c r="A79" s="208" t="s">
        <v>12</v>
      </c>
      <c r="B79" s="211" t="s">
        <v>16</v>
      </c>
      <c r="C79" s="211" t="s">
        <v>20</v>
      </c>
      <c r="D79" s="213" t="s">
        <v>22</v>
      </c>
      <c r="E79" s="235"/>
    </row>
    <row r="80" ht="15.75" customHeight="1">
      <c r="A80" s="83" t="s">
        <v>468</v>
      </c>
      <c r="B80" s="215">
        <v>250.0</v>
      </c>
      <c r="C80" s="217" t="s">
        <v>112</v>
      </c>
      <c r="D80" s="266"/>
      <c r="E80" s="235"/>
    </row>
    <row r="81" ht="15.75" customHeight="1">
      <c r="A81" s="83" t="s">
        <v>393</v>
      </c>
      <c r="B81" s="215">
        <v>100.0</v>
      </c>
      <c r="C81" s="217" t="s">
        <v>112</v>
      </c>
      <c r="D81" s="69"/>
      <c r="E81" s="235"/>
    </row>
    <row r="82" ht="15.75" customHeight="1">
      <c r="A82" s="83" t="s">
        <v>471</v>
      </c>
      <c r="B82" s="215">
        <v>30.0</v>
      </c>
      <c r="C82" s="217" t="s">
        <v>112</v>
      </c>
      <c r="D82" s="69"/>
      <c r="E82" s="245"/>
    </row>
    <row r="83" ht="15.75" customHeight="1">
      <c r="A83" s="83" t="s">
        <v>473</v>
      </c>
      <c r="B83" s="215">
        <v>2.0</v>
      </c>
      <c r="C83" s="217" t="s">
        <v>112</v>
      </c>
      <c r="D83" s="69"/>
      <c r="E83" s="245"/>
    </row>
    <row r="84" ht="15.75" customHeight="1">
      <c r="A84" s="83" t="s">
        <v>109</v>
      </c>
      <c r="B84" s="215">
        <v>120.0</v>
      </c>
      <c r="C84" s="217" t="s">
        <v>25</v>
      </c>
      <c r="D84" s="69"/>
      <c r="E84" s="245"/>
    </row>
    <row r="85" ht="15.75" customHeight="1">
      <c r="A85" s="83"/>
      <c r="B85" s="215"/>
      <c r="C85" s="217"/>
      <c r="D85" s="69"/>
      <c r="E85" s="245"/>
    </row>
    <row r="86" ht="15.75" customHeight="1">
      <c r="A86" s="230" t="s">
        <v>62</v>
      </c>
      <c r="B86" s="232"/>
      <c r="C86" s="234"/>
      <c r="D86" s="87"/>
      <c r="E86" s="231"/>
    </row>
    <row r="87" ht="15.75" customHeight="1">
      <c r="A87" s="230" t="s">
        <v>64</v>
      </c>
      <c r="B87" s="237"/>
      <c r="C87" s="238"/>
      <c r="D87" s="87"/>
      <c r="E87" s="231"/>
    </row>
    <row r="88" ht="15.75" customHeight="1">
      <c r="A88" s="83" t="s">
        <v>475</v>
      </c>
      <c r="B88" s="118"/>
      <c r="C88" s="120"/>
      <c r="D88" s="121"/>
      <c r="E88" s="303"/>
    </row>
    <row r="89" ht="15.75" customHeight="1">
      <c r="A89" s="274" t="s">
        <v>478</v>
      </c>
      <c r="B89" s="118"/>
      <c r="C89" s="118"/>
      <c r="D89" s="120"/>
      <c r="E89" s="303"/>
    </row>
    <row r="90" ht="15.75" customHeight="1">
      <c r="A90" s="83" t="s">
        <v>480</v>
      </c>
      <c r="B90" s="118"/>
      <c r="C90" s="120"/>
      <c r="D90" s="121"/>
      <c r="E90" s="303"/>
    </row>
    <row r="91" ht="15.75" customHeight="1">
      <c r="A91" s="281" t="s">
        <v>483</v>
      </c>
      <c r="B91" s="293"/>
      <c r="C91" s="294"/>
      <c r="D91" s="295"/>
      <c r="E91" s="296"/>
    </row>
    <row r="92" ht="15.75" customHeight="1"/>
    <row r="93" ht="15.75" customHeight="1"/>
    <row r="94" ht="15.75" customHeight="1">
      <c r="A94" s="317" t="s">
        <v>485</v>
      </c>
    </row>
    <row r="95" ht="15.75" customHeight="1">
      <c r="A95" s="317" t="s">
        <v>487</v>
      </c>
    </row>
    <row r="96" ht="15.75" customHeight="1"/>
    <row r="97" ht="15.75" customHeight="1">
      <c r="A97" s="317" t="s">
        <v>488</v>
      </c>
    </row>
    <row r="98" ht="15.75" customHeight="1"/>
    <row r="99" ht="15.75" customHeight="1">
      <c r="A99" s="317" t="s">
        <v>489</v>
      </c>
    </row>
    <row r="100" ht="15.75" customHeight="1"/>
    <row r="101" ht="15.75" customHeight="1">
      <c r="A101" s="317" t="s">
        <v>490</v>
      </c>
    </row>
    <row r="102" ht="15.75" customHeight="1"/>
    <row r="103" ht="15.75" customHeight="1">
      <c r="A103" s="317" t="s">
        <v>492</v>
      </c>
    </row>
    <row r="104" ht="15.75" customHeight="1"/>
    <row r="105" ht="15.75" customHeight="1">
      <c r="A105" s="317" t="s">
        <v>494</v>
      </c>
    </row>
    <row r="106" ht="15.75" customHeight="1"/>
    <row r="107" ht="15.75" customHeight="1">
      <c r="A107" s="317" t="s">
        <v>492</v>
      </c>
    </row>
    <row r="108" ht="15.75" customHeight="1"/>
    <row r="109" ht="15.75" customHeight="1">
      <c r="A109" s="317" t="s">
        <v>495</v>
      </c>
    </row>
    <row r="110" ht="15.75" customHeight="1"/>
    <row r="111" ht="15.75" customHeight="1">
      <c r="A111" s="317" t="s">
        <v>492</v>
      </c>
    </row>
    <row r="112" ht="15.75" customHeight="1"/>
    <row r="113" ht="15.75" customHeight="1">
      <c r="A113" s="317" t="s">
        <v>496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23">
    <mergeCell ref="A3:D3"/>
    <mergeCell ref="A5:C5"/>
    <mergeCell ref="D8:E8"/>
    <mergeCell ref="D9:E9"/>
    <mergeCell ref="D10:E10"/>
    <mergeCell ref="D11:E11"/>
    <mergeCell ref="D13:E13"/>
    <mergeCell ref="A21:C21"/>
    <mergeCell ref="D24:E24"/>
    <mergeCell ref="D25:E25"/>
    <mergeCell ref="D26:E26"/>
    <mergeCell ref="D38:E38"/>
    <mergeCell ref="D39:E39"/>
    <mergeCell ref="D40:E40"/>
    <mergeCell ref="D80:E80"/>
    <mergeCell ref="D81:E81"/>
    <mergeCell ref="D53:E53"/>
    <mergeCell ref="D54:E54"/>
    <mergeCell ref="D55:E55"/>
    <mergeCell ref="D68:E68"/>
    <mergeCell ref="D69:E69"/>
    <mergeCell ref="D70:E70"/>
    <mergeCell ref="D79:E79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314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2" t="s">
        <v>422</v>
      </c>
      <c r="E3" s="226"/>
      <c r="F3" s="4"/>
      <c r="G3" s="4"/>
      <c r="H3" s="4"/>
      <c r="I3" s="4"/>
      <c r="J3" s="4"/>
      <c r="K3" s="4"/>
    </row>
    <row r="4" ht="18.0" customHeight="1">
      <c r="A4" s="224" t="s">
        <v>258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425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427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01" t="s">
        <v>430</v>
      </c>
      <c r="B7" s="28"/>
      <c r="C7" s="28"/>
      <c r="D7" s="21"/>
      <c r="E7" s="226"/>
      <c r="F7" s="25"/>
      <c r="G7" s="25"/>
      <c r="H7" s="25"/>
      <c r="I7" s="25"/>
      <c r="J7" s="25"/>
      <c r="K7" s="25"/>
    </row>
    <row r="8">
      <c r="A8" s="208" t="s">
        <v>12</v>
      </c>
      <c r="B8" s="211" t="s">
        <v>16</v>
      </c>
      <c r="C8" s="211" t="s">
        <v>20</v>
      </c>
      <c r="D8" s="213" t="s">
        <v>22</v>
      </c>
      <c r="E8" s="235"/>
      <c r="F8" s="45"/>
      <c r="G8" s="45"/>
      <c r="H8" s="45"/>
      <c r="I8" s="45"/>
      <c r="J8" s="45"/>
      <c r="K8" s="45"/>
    </row>
    <row r="9">
      <c r="A9" s="83" t="s">
        <v>432</v>
      </c>
      <c r="B9" s="65">
        <v>45.0</v>
      </c>
      <c r="C9" s="74" t="s">
        <v>25</v>
      </c>
      <c r="D9" s="69"/>
      <c r="E9" s="235"/>
      <c r="F9" s="45"/>
      <c r="G9" s="45"/>
      <c r="H9" s="45"/>
      <c r="I9" s="45"/>
      <c r="J9" s="45"/>
      <c r="K9" s="45"/>
    </row>
    <row r="10">
      <c r="A10" s="83" t="s">
        <v>435</v>
      </c>
      <c r="B10" s="65">
        <v>15.0</v>
      </c>
      <c r="C10" s="74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437</v>
      </c>
      <c r="B11" s="65">
        <v>110.0</v>
      </c>
      <c r="C11" s="74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/>
      <c r="B12" s="65"/>
      <c r="C12" s="74"/>
      <c r="D12" s="69"/>
      <c r="E12" s="240"/>
      <c r="F12" s="45"/>
      <c r="G12" s="45"/>
      <c r="H12" s="45"/>
      <c r="I12" s="45"/>
      <c r="J12" s="45"/>
      <c r="K12" s="45"/>
    </row>
    <row r="13">
      <c r="A13" s="225"/>
      <c r="B13" s="5"/>
      <c r="C13" s="67"/>
      <c r="D13" s="69"/>
      <c r="E13" s="235"/>
      <c r="F13" s="45"/>
      <c r="G13" s="45"/>
      <c r="H13" s="45"/>
      <c r="I13" s="45"/>
      <c r="J13" s="45"/>
      <c r="K13" s="45"/>
    </row>
    <row r="14">
      <c r="A14" s="225"/>
      <c r="B14" s="5"/>
      <c r="C14" s="67"/>
      <c r="D14" s="69"/>
      <c r="E14" s="245"/>
      <c r="F14" s="45"/>
      <c r="G14" s="45"/>
      <c r="H14" s="45"/>
      <c r="I14" s="45"/>
      <c r="J14" s="45"/>
      <c r="K14" s="45"/>
    </row>
    <row r="15">
      <c r="A15" s="225"/>
      <c r="B15" s="5"/>
      <c r="C15" s="67"/>
      <c r="D15" s="69"/>
      <c r="E15" s="245"/>
      <c r="F15" s="45"/>
      <c r="G15" s="45"/>
      <c r="H15" s="45"/>
      <c r="I15" s="45"/>
      <c r="J15" s="45"/>
      <c r="K15" s="45"/>
    </row>
    <row r="16">
      <c r="A16" s="230" t="s">
        <v>48</v>
      </c>
      <c r="B16" s="86"/>
      <c r="C16" s="86"/>
      <c r="D16" s="87"/>
      <c r="E16" s="231"/>
      <c r="F16" s="45"/>
      <c r="G16" s="45"/>
      <c r="H16" s="45"/>
      <c r="I16" s="45"/>
      <c r="J16" s="45"/>
      <c r="K16" s="45"/>
    </row>
    <row r="17">
      <c r="A17" s="83" t="s">
        <v>444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>
      <c r="A18" s="83" t="s">
        <v>446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>
      <c r="A19" s="83" t="s">
        <v>447</v>
      </c>
      <c r="B19" s="94"/>
      <c r="C19" s="94"/>
      <c r="D19" s="94"/>
      <c r="E19" s="248"/>
      <c r="F19" s="45"/>
      <c r="G19" s="45"/>
      <c r="H19" s="45"/>
      <c r="I19" s="45"/>
      <c r="J19" s="45"/>
      <c r="K19" s="45"/>
    </row>
    <row r="20" ht="15.75" customHeight="1">
      <c r="A20" s="83" t="s">
        <v>449</v>
      </c>
      <c r="B20" s="94"/>
      <c r="C20" s="94"/>
      <c r="D20" s="94"/>
      <c r="E20" s="248"/>
      <c r="F20" s="45"/>
      <c r="G20" s="45"/>
      <c r="H20" s="45"/>
      <c r="I20" s="45"/>
      <c r="J20" s="45"/>
      <c r="K20" s="45"/>
    </row>
    <row r="21" ht="15.75" customHeight="1">
      <c r="A21" s="273" t="s">
        <v>298</v>
      </c>
      <c r="D21" s="45"/>
      <c r="E21" s="219"/>
      <c r="F21" s="45"/>
      <c r="G21" s="45"/>
      <c r="H21" s="45"/>
      <c r="I21" s="45"/>
      <c r="J21" s="45"/>
      <c r="K21" s="45"/>
    </row>
    <row r="22" ht="15.75" customHeight="1">
      <c r="A22" s="201"/>
      <c r="B22" s="28"/>
      <c r="C22" s="28"/>
      <c r="D22" s="45"/>
      <c r="E22" s="219"/>
      <c r="F22" s="45"/>
      <c r="G22" s="45"/>
      <c r="H22" s="45"/>
      <c r="I22" s="45"/>
      <c r="J22" s="45"/>
      <c r="K22" s="45"/>
    </row>
    <row r="23" ht="15.75" customHeight="1">
      <c r="A23" s="201"/>
      <c r="B23" s="28"/>
      <c r="C23" s="28"/>
      <c r="D23" s="45"/>
      <c r="E23" s="219"/>
      <c r="F23" s="45"/>
      <c r="G23" s="45"/>
      <c r="H23" s="45"/>
      <c r="I23" s="45"/>
      <c r="J23" s="45"/>
      <c r="K23" s="45"/>
    </row>
    <row r="24" ht="15.75" customHeight="1">
      <c r="A24" s="201" t="s">
        <v>452</v>
      </c>
      <c r="B24" s="28"/>
      <c r="C24" s="28"/>
      <c r="D24" s="45"/>
      <c r="E24" s="219"/>
      <c r="F24" s="45"/>
      <c r="G24" s="45"/>
      <c r="H24" s="45"/>
      <c r="I24" s="45"/>
      <c r="J24" s="45"/>
      <c r="K24" s="45"/>
    </row>
    <row r="25" ht="15.75" customHeight="1">
      <c r="A25" s="208" t="s">
        <v>12</v>
      </c>
      <c r="B25" s="211" t="s">
        <v>16</v>
      </c>
      <c r="C25" s="211" t="s">
        <v>20</v>
      </c>
      <c r="D25" s="213" t="s">
        <v>22</v>
      </c>
      <c r="E25" s="235"/>
      <c r="F25" s="45"/>
      <c r="G25" s="45"/>
      <c r="H25" s="45"/>
      <c r="I25" s="45"/>
      <c r="J25" s="45"/>
      <c r="K25" s="45"/>
    </row>
    <row r="26" ht="15.75" customHeight="1">
      <c r="A26" s="83" t="s">
        <v>456</v>
      </c>
      <c r="B26" s="215">
        <v>100.0</v>
      </c>
      <c r="C26" s="217" t="s">
        <v>25</v>
      </c>
      <c r="D26" s="69"/>
      <c r="E26" s="235"/>
      <c r="F26" s="45"/>
      <c r="G26" s="45"/>
      <c r="H26" s="45"/>
      <c r="I26" s="45"/>
      <c r="J26" s="45"/>
      <c r="K26" s="45"/>
    </row>
    <row r="27" ht="15.75" customHeight="1">
      <c r="A27" s="83" t="s">
        <v>393</v>
      </c>
      <c r="B27" s="215">
        <v>100.0</v>
      </c>
      <c r="C27" s="217" t="s">
        <v>112</v>
      </c>
      <c r="D27" s="69"/>
      <c r="E27" s="235"/>
      <c r="F27" s="45"/>
      <c r="G27" s="45"/>
      <c r="H27" s="45"/>
      <c r="I27" s="45"/>
      <c r="J27" s="45"/>
      <c r="K27" s="45"/>
    </row>
    <row r="28" ht="15.75" customHeight="1">
      <c r="A28" s="83" t="s">
        <v>460</v>
      </c>
      <c r="B28" s="215">
        <v>300.0</v>
      </c>
      <c r="C28" s="217" t="s">
        <v>25</v>
      </c>
      <c r="D28" s="69"/>
      <c r="E28" s="245"/>
      <c r="F28" s="45"/>
      <c r="G28" s="45"/>
      <c r="H28" s="45"/>
      <c r="I28" s="45"/>
      <c r="J28" s="45"/>
      <c r="K28" s="45"/>
    </row>
    <row r="29" ht="15.75" customHeight="1">
      <c r="A29" s="83" t="s">
        <v>109</v>
      </c>
      <c r="B29" s="215">
        <v>200.0</v>
      </c>
      <c r="C29" s="217" t="s">
        <v>25</v>
      </c>
      <c r="D29" s="69"/>
      <c r="E29" s="245"/>
      <c r="F29" s="45"/>
      <c r="G29" s="45"/>
      <c r="H29" s="45"/>
      <c r="I29" s="45"/>
      <c r="J29" s="45"/>
      <c r="K29" s="45"/>
    </row>
    <row r="30" ht="15.75" customHeight="1">
      <c r="A30" s="83" t="s">
        <v>462</v>
      </c>
      <c r="B30" s="215">
        <v>6.0</v>
      </c>
      <c r="C30" s="217" t="s">
        <v>112</v>
      </c>
      <c r="D30" s="69"/>
      <c r="E30" s="245"/>
      <c r="F30" s="45"/>
      <c r="G30" s="45"/>
      <c r="H30" s="45"/>
      <c r="I30" s="45"/>
      <c r="J30" s="45"/>
      <c r="K30" s="45"/>
    </row>
    <row r="31" ht="15.75" customHeight="1">
      <c r="A31" s="83"/>
      <c r="B31" s="215"/>
      <c r="C31" s="217"/>
      <c r="D31" s="69"/>
      <c r="E31" s="245"/>
      <c r="F31" s="45"/>
      <c r="G31" s="45"/>
      <c r="H31" s="45"/>
      <c r="I31" s="45"/>
      <c r="J31" s="45"/>
      <c r="K31" s="45"/>
    </row>
    <row r="32" ht="15.75" customHeight="1">
      <c r="A32" s="230" t="s">
        <v>62</v>
      </c>
      <c r="B32" s="232"/>
      <c r="C32" s="234"/>
      <c r="D32" s="87"/>
      <c r="E32" s="231"/>
      <c r="F32" s="45"/>
      <c r="G32" s="45"/>
      <c r="H32" s="45"/>
      <c r="I32" s="45"/>
      <c r="J32" s="45"/>
      <c r="K32" s="45"/>
    </row>
    <row r="33" ht="15.75" customHeight="1">
      <c r="A33" s="230" t="s">
        <v>64</v>
      </c>
      <c r="B33" s="237"/>
      <c r="C33" s="238"/>
      <c r="D33" s="87"/>
      <c r="E33" s="231"/>
      <c r="F33" s="45"/>
      <c r="G33" s="45"/>
      <c r="H33" s="45"/>
      <c r="I33" s="45"/>
      <c r="J33" s="45"/>
      <c r="K33" s="45"/>
    </row>
    <row r="34" ht="15.75" customHeight="1">
      <c r="A34" s="83" t="s">
        <v>465</v>
      </c>
      <c r="B34" s="118"/>
      <c r="C34" s="120"/>
      <c r="D34" s="121"/>
      <c r="E34" s="303"/>
      <c r="F34" s="45"/>
      <c r="G34" s="45"/>
      <c r="H34" s="45"/>
      <c r="I34" s="45"/>
      <c r="J34" s="45"/>
      <c r="K34" s="45"/>
    </row>
    <row r="35" ht="15.75" customHeight="1">
      <c r="A35" s="83" t="s">
        <v>467</v>
      </c>
      <c r="B35" s="118"/>
      <c r="C35" s="120"/>
      <c r="D35" s="121"/>
      <c r="E35" s="303"/>
      <c r="F35" s="45"/>
      <c r="G35" s="45"/>
      <c r="H35" s="45"/>
      <c r="I35" s="45"/>
      <c r="J35" s="45"/>
      <c r="K35" s="45"/>
    </row>
    <row r="36" ht="15.75" customHeight="1">
      <c r="A36" s="83" t="s">
        <v>469</v>
      </c>
      <c r="B36" s="118"/>
      <c r="C36" s="120"/>
      <c r="D36" s="121"/>
      <c r="E36" s="303"/>
      <c r="F36" s="45"/>
      <c r="G36" s="45"/>
      <c r="H36" s="45"/>
      <c r="I36" s="45"/>
      <c r="J36" s="45"/>
      <c r="K36" s="45"/>
    </row>
    <row r="37" ht="15.75" customHeight="1">
      <c r="A37" s="83" t="s">
        <v>470</v>
      </c>
      <c r="B37" s="118"/>
      <c r="C37" s="120"/>
      <c r="D37" s="121"/>
      <c r="E37" s="303"/>
      <c r="F37" s="45"/>
      <c r="G37" s="45"/>
      <c r="H37" s="45"/>
      <c r="I37" s="45"/>
      <c r="J37" s="45"/>
      <c r="K37" s="45"/>
    </row>
    <row r="38" ht="15.75" customHeight="1">
      <c r="A38" s="83" t="s">
        <v>472</v>
      </c>
      <c r="B38" s="118"/>
      <c r="C38" s="120"/>
      <c r="D38" s="121"/>
      <c r="E38" s="303"/>
      <c r="F38" s="45"/>
      <c r="G38" s="45"/>
      <c r="H38" s="45"/>
      <c r="I38" s="45"/>
      <c r="J38" s="45"/>
      <c r="K38" s="45"/>
    </row>
    <row r="39" ht="15.75" customHeight="1">
      <c r="A39" s="83"/>
      <c r="B39" s="118"/>
      <c r="C39" s="120"/>
      <c r="D39" s="121"/>
      <c r="E39" s="303"/>
      <c r="F39" s="45"/>
      <c r="G39" s="45"/>
      <c r="H39" s="45"/>
      <c r="I39" s="45"/>
      <c r="J39" s="45"/>
      <c r="K39" s="45"/>
    </row>
    <row r="40" ht="15.75" customHeight="1">
      <c r="A40" s="201" t="s">
        <v>474</v>
      </c>
      <c r="B40" s="28"/>
      <c r="C40" s="28"/>
      <c r="D40" s="45"/>
      <c r="E40" s="219"/>
      <c r="F40" s="45"/>
      <c r="G40" s="45"/>
      <c r="H40" s="45"/>
      <c r="I40" s="45"/>
      <c r="J40" s="45"/>
      <c r="K40" s="45"/>
    </row>
    <row r="41" ht="15.75" customHeight="1">
      <c r="A41" s="208" t="s">
        <v>12</v>
      </c>
      <c r="B41" s="211" t="s">
        <v>16</v>
      </c>
      <c r="C41" s="211" t="s">
        <v>20</v>
      </c>
      <c r="D41" s="213" t="s">
        <v>22</v>
      </c>
      <c r="E41" s="235"/>
      <c r="F41" s="45"/>
      <c r="G41" s="45"/>
      <c r="H41" s="45"/>
      <c r="I41" s="45"/>
      <c r="J41" s="45"/>
      <c r="K41" s="45"/>
    </row>
    <row r="42" ht="15.75" customHeight="1">
      <c r="A42" s="83" t="s">
        <v>476</v>
      </c>
      <c r="B42" s="215">
        <v>1000.0</v>
      </c>
      <c r="C42" s="217" t="s">
        <v>25</v>
      </c>
      <c r="D42" s="69"/>
      <c r="E42" s="235"/>
    </row>
    <row r="43" ht="15.75" customHeight="1">
      <c r="A43" s="83" t="s">
        <v>479</v>
      </c>
      <c r="B43" s="215">
        <v>10.0</v>
      </c>
      <c r="C43" s="217" t="s">
        <v>112</v>
      </c>
      <c r="D43" s="69"/>
      <c r="E43" s="235"/>
    </row>
    <row r="44" ht="15.75" customHeight="1">
      <c r="A44" s="83" t="s">
        <v>481</v>
      </c>
      <c r="B44" s="215">
        <v>1.0</v>
      </c>
      <c r="C44" s="217" t="s">
        <v>112</v>
      </c>
      <c r="D44" s="69"/>
      <c r="E44" s="245"/>
    </row>
    <row r="45" ht="15.75" customHeight="1">
      <c r="A45" s="83" t="s">
        <v>484</v>
      </c>
      <c r="B45" s="215">
        <v>1.0</v>
      </c>
      <c r="C45" s="217" t="s">
        <v>112</v>
      </c>
      <c r="D45" s="69"/>
      <c r="E45" s="245"/>
    </row>
    <row r="46" ht="15.75" customHeight="1">
      <c r="A46" s="83" t="s">
        <v>486</v>
      </c>
      <c r="B46" s="215">
        <v>10.0</v>
      </c>
      <c r="C46" s="217" t="s">
        <v>112</v>
      </c>
      <c r="D46" s="69"/>
      <c r="E46" s="245"/>
    </row>
    <row r="47" ht="15.75" customHeight="1">
      <c r="A47" s="83"/>
      <c r="B47" s="215"/>
      <c r="C47" s="217"/>
      <c r="D47" s="69"/>
      <c r="E47" s="245"/>
    </row>
    <row r="48" ht="15.75" customHeight="1">
      <c r="A48" s="230" t="s">
        <v>62</v>
      </c>
      <c r="B48" s="232"/>
      <c r="C48" s="234"/>
      <c r="D48" s="87"/>
      <c r="E48" s="231"/>
    </row>
    <row r="49" ht="15.75" customHeight="1">
      <c r="A49" s="230" t="s">
        <v>64</v>
      </c>
      <c r="B49" s="237"/>
      <c r="C49" s="238"/>
      <c r="D49" s="87"/>
      <c r="E49" s="231"/>
    </row>
    <row r="50" ht="15.75" customHeight="1">
      <c r="A50" s="83" t="s">
        <v>491</v>
      </c>
      <c r="B50" s="118"/>
      <c r="C50" s="120"/>
      <c r="D50" s="121"/>
      <c r="E50" s="303"/>
    </row>
    <row r="51" ht="15.75" customHeight="1">
      <c r="A51" s="83" t="s">
        <v>493</v>
      </c>
      <c r="B51" s="118"/>
      <c r="C51" s="120"/>
      <c r="D51" s="121"/>
      <c r="E51" s="303"/>
    </row>
    <row r="52" ht="15.75" customHeight="1">
      <c r="A52" s="83" t="s">
        <v>497</v>
      </c>
      <c r="B52" s="118"/>
      <c r="C52" s="120"/>
      <c r="D52" s="121"/>
      <c r="E52" s="303"/>
    </row>
    <row r="53" ht="15.75" customHeight="1">
      <c r="A53" s="83" t="s">
        <v>498</v>
      </c>
      <c r="B53" s="118"/>
      <c r="C53" s="120"/>
      <c r="D53" s="121"/>
      <c r="E53" s="303"/>
    </row>
    <row r="54" ht="15.75" customHeight="1">
      <c r="A54" s="83" t="s">
        <v>499</v>
      </c>
      <c r="B54" s="118"/>
      <c r="C54" s="120"/>
      <c r="D54" s="121"/>
      <c r="E54" s="303"/>
    </row>
    <row r="55" ht="15.75" customHeight="1">
      <c r="A55" s="83" t="s">
        <v>501</v>
      </c>
      <c r="B55" s="118"/>
      <c r="C55" s="120"/>
      <c r="D55" s="121"/>
      <c r="E55" s="303"/>
    </row>
    <row r="56" ht="15.75" customHeight="1">
      <c r="A56" s="319"/>
      <c r="B56" s="5"/>
      <c r="E56" s="306"/>
    </row>
    <row r="57" ht="15.75" customHeight="1">
      <c r="A57" s="201" t="s">
        <v>503</v>
      </c>
      <c r="B57" s="28"/>
      <c r="C57" s="28"/>
      <c r="D57" s="45"/>
      <c r="E57" s="219"/>
    </row>
    <row r="58" ht="15.75" customHeight="1">
      <c r="A58" s="208" t="s">
        <v>12</v>
      </c>
      <c r="B58" s="211" t="s">
        <v>16</v>
      </c>
      <c r="C58" s="211" t="s">
        <v>20</v>
      </c>
      <c r="D58" s="213" t="s">
        <v>22</v>
      </c>
      <c r="E58" s="235"/>
    </row>
    <row r="59" ht="15.75" customHeight="1">
      <c r="A59" s="83" t="s">
        <v>505</v>
      </c>
      <c r="B59" s="215">
        <v>90.0</v>
      </c>
      <c r="C59" s="217" t="s">
        <v>112</v>
      </c>
      <c r="D59" s="69"/>
      <c r="E59" s="235"/>
    </row>
    <row r="60" ht="15.75" customHeight="1">
      <c r="A60" s="83" t="s">
        <v>109</v>
      </c>
      <c r="B60" s="215">
        <v>400.0</v>
      </c>
      <c r="C60" s="217" t="s">
        <v>25</v>
      </c>
      <c r="D60" s="69"/>
      <c r="E60" s="235"/>
    </row>
    <row r="61" ht="15.75" customHeight="1">
      <c r="A61" s="83"/>
      <c r="B61" s="215"/>
      <c r="C61" s="217"/>
      <c r="D61" s="69"/>
      <c r="E61" s="245"/>
    </row>
    <row r="62" ht="15.75" customHeight="1">
      <c r="A62" s="230" t="s">
        <v>62</v>
      </c>
      <c r="B62" s="232"/>
      <c r="C62" s="234"/>
      <c r="D62" s="87"/>
      <c r="E62" s="231"/>
    </row>
    <row r="63" ht="15.75" customHeight="1">
      <c r="A63" s="230" t="s">
        <v>64</v>
      </c>
      <c r="B63" s="237"/>
      <c r="C63" s="238"/>
      <c r="D63" s="87"/>
      <c r="E63" s="231"/>
    </row>
    <row r="64" ht="15.75" customHeight="1">
      <c r="A64" s="83" t="s">
        <v>508</v>
      </c>
      <c r="B64" s="118"/>
      <c r="C64" s="120"/>
      <c r="D64" s="121"/>
      <c r="E64" s="303"/>
    </row>
    <row r="65" ht="15.75" customHeight="1">
      <c r="A65" s="83" t="s">
        <v>509</v>
      </c>
      <c r="B65" s="118"/>
      <c r="C65" s="120"/>
      <c r="D65" s="121"/>
      <c r="E65" s="303"/>
    </row>
    <row r="66" ht="15.75" customHeight="1">
      <c r="A66" s="83" t="s">
        <v>510</v>
      </c>
      <c r="B66" s="118"/>
      <c r="C66" s="120"/>
      <c r="D66" s="121"/>
      <c r="E66" s="303"/>
    </row>
    <row r="67" ht="15.75" customHeight="1">
      <c r="A67" s="83" t="s">
        <v>512</v>
      </c>
      <c r="B67" s="118"/>
      <c r="C67" s="120"/>
      <c r="D67" s="121"/>
      <c r="E67" s="303"/>
    </row>
    <row r="68" ht="15.75" customHeight="1">
      <c r="A68" s="83"/>
      <c r="B68" s="118"/>
      <c r="C68" s="120"/>
      <c r="D68" s="121"/>
      <c r="E68" s="303"/>
    </row>
    <row r="69" ht="15.75" customHeight="1">
      <c r="A69" s="201" t="s">
        <v>513</v>
      </c>
      <c r="B69" s="28"/>
      <c r="C69" s="28"/>
      <c r="D69" s="45"/>
      <c r="E69" s="219"/>
    </row>
    <row r="70" ht="15.75" customHeight="1">
      <c r="A70" s="208" t="s">
        <v>12</v>
      </c>
      <c r="B70" s="211" t="s">
        <v>16</v>
      </c>
      <c r="C70" s="211" t="s">
        <v>20</v>
      </c>
      <c r="D70" s="213" t="s">
        <v>22</v>
      </c>
      <c r="E70" s="235"/>
    </row>
    <row r="71" ht="15.75" customHeight="1">
      <c r="A71" s="83" t="s">
        <v>515</v>
      </c>
      <c r="B71" s="215">
        <v>90.0</v>
      </c>
      <c r="C71" s="217" t="s">
        <v>25</v>
      </c>
      <c r="D71" s="69"/>
      <c r="E71" s="235"/>
    </row>
    <row r="72" ht="15.75" customHeight="1">
      <c r="A72" s="83" t="s">
        <v>517</v>
      </c>
      <c r="B72" s="215">
        <v>15.0</v>
      </c>
      <c r="C72" s="217" t="s">
        <v>25</v>
      </c>
      <c r="D72" s="69"/>
      <c r="E72" s="235"/>
    </row>
    <row r="73" ht="15.75" customHeight="1">
      <c r="A73" s="83" t="s">
        <v>520</v>
      </c>
      <c r="B73" s="316">
        <v>46054.0</v>
      </c>
      <c r="C73" s="217" t="s">
        <v>112</v>
      </c>
      <c r="D73" s="69"/>
      <c r="E73" s="245"/>
    </row>
    <row r="74" ht="15.75" customHeight="1">
      <c r="A74" s="83" t="s">
        <v>117</v>
      </c>
      <c r="B74" s="215">
        <v>20.0</v>
      </c>
      <c r="C74" s="217" t="s">
        <v>25</v>
      </c>
      <c r="D74" s="69"/>
      <c r="E74" s="245"/>
    </row>
    <row r="75" ht="15.75" customHeight="1">
      <c r="A75" s="83"/>
      <c r="B75" s="215"/>
      <c r="C75" s="217"/>
      <c r="D75" s="69"/>
      <c r="E75" s="245"/>
    </row>
    <row r="76" ht="15.75" customHeight="1">
      <c r="A76" s="230" t="s">
        <v>62</v>
      </c>
      <c r="B76" s="232"/>
      <c r="C76" s="234"/>
      <c r="D76" s="87"/>
      <c r="E76" s="231"/>
    </row>
    <row r="77" ht="15.75" customHeight="1">
      <c r="A77" s="230" t="s">
        <v>64</v>
      </c>
      <c r="B77" s="237"/>
      <c r="C77" s="238"/>
      <c r="D77" s="87"/>
      <c r="E77" s="231"/>
    </row>
    <row r="78" ht="15.75" customHeight="1">
      <c r="A78" s="83" t="s">
        <v>526</v>
      </c>
      <c r="B78" s="118"/>
      <c r="C78" s="120"/>
      <c r="D78" s="121"/>
      <c r="E78" s="303"/>
    </row>
    <row r="79" ht="15.75" customHeight="1">
      <c r="A79" s="83" t="s">
        <v>528</v>
      </c>
      <c r="B79" s="118"/>
      <c r="C79" s="120"/>
      <c r="D79" s="121"/>
      <c r="E79" s="303"/>
    </row>
    <row r="80" ht="15.75" customHeight="1">
      <c r="A80" s="83" t="s">
        <v>530</v>
      </c>
      <c r="B80" s="118"/>
      <c r="C80" s="120"/>
      <c r="D80" s="121"/>
      <c r="E80" s="303"/>
    </row>
    <row r="81" ht="15.75" customHeight="1">
      <c r="A81" s="83" t="s">
        <v>531</v>
      </c>
      <c r="B81" s="118"/>
      <c r="C81" s="120"/>
      <c r="D81" s="121"/>
      <c r="E81" s="303"/>
    </row>
    <row r="82" ht="15.75" customHeight="1">
      <c r="A82" s="83"/>
      <c r="B82" s="118"/>
      <c r="C82" s="120"/>
      <c r="D82" s="121"/>
      <c r="E82" s="303"/>
    </row>
    <row r="83" ht="15.75" customHeight="1">
      <c r="A83" s="281"/>
      <c r="B83" s="293"/>
      <c r="C83" s="294"/>
      <c r="D83" s="295"/>
      <c r="E83" s="29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20">
    <mergeCell ref="A3:D3"/>
    <mergeCell ref="A5:C5"/>
    <mergeCell ref="D8:E8"/>
    <mergeCell ref="D9:E9"/>
    <mergeCell ref="D10:E10"/>
    <mergeCell ref="D11:E11"/>
    <mergeCell ref="D13:E13"/>
    <mergeCell ref="D58:E58"/>
    <mergeCell ref="D59:E59"/>
    <mergeCell ref="D60:E60"/>
    <mergeCell ref="D70:E70"/>
    <mergeCell ref="D71:E71"/>
    <mergeCell ref="D72:E72"/>
    <mergeCell ref="A21:C21"/>
    <mergeCell ref="D25:E25"/>
    <mergeCell ref="D26:E26"/>
    <mergeCell ref="D27:E27"/>
    <mergeCell ref="D41:E41"/>
    <mergeCell ref="D42:E42"/>
    <mergeCell ref="D43:E4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314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2" t="s">
        <v>477</v>
      </c>
      <c r="E3" s="226"/>
      <c r="F3" s="4"/>
      <c r="G3" s="4"/>
      <c r="H3" s="4"/>
      <c r="I3" s="4"/>
      <c r="J3" s="4"/>
      <c r="K3" s="4"/>
    </row>
    <row r="4" ht="18.0" customHeight="1">
      <c r="A4" s="224" t="s">
        <v>482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309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14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01" t="s">
        <v>310</v>
      </c>
      <c r="B7" s="28"/>
      <c r="C7" s="28"/>
      <c r="D7" s="21"/>
      <c r="E7" s="226"/>
      <c r="F7" s="25"/>
      <c r="G7" s="25"/>
      <c r="H7" s="25"/>
      <c r="I7" s="25"/>
      <c r="J7" s="25"/>
      <c r="K7" s="25"/>
    </row>
    <row r="8">
      <c r="A8" s="208" t="s">
        <v>12</v>
      </c>
      <c r="B8" s="211" t="s">
        <v>16</v>
      </c>
      <c r="C8" s="211" t="s">
        <v>20</v>
      </c>
      <c r="D8" s="213" t="s">
        <v>22</v>
      </c>
      <c r="E8" s="235"/>
      <c r="F8" s="45"/>
      <c r="G8" s="45"/>
      <c r="H8" s="45"/>
      <c r="I8" s="45"/>
      <c r="J8" s="45"/>
      <c r="K8" s="45"/>
    </row>
    <row r="9">
      <c r="A9" s="83" t="s">
        <v>500</v>
      </c>
      <c r="B9" s="65">
        <v>45.0</v>
      </c>
      <c r="C9" s="318" t="s">
        <v>25</v>
      </c>
      <c r="D9" s="69"/>
      <c r="E9" s="235"/>
      <c r="F9" s="45"/>
      <c r="G9" s="45"/>
      <c r="H9" s="45"/>
      <c r="I9" s="45"/>
      <c r="J9" s="45"/>
      <c r="K9" s="45"/>
    </row>
    <row r="10">
      <c r="A10" s="83" t="s">
        <v>502</v>
      </c>
      <c r="B10" s="65">
        <v>15.0</v>
      </c>
      <c r="C10" s="318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504</v>
      </c>
      <c r="B11" s="65">
        <v>120.0</v>
      </c>
      <c r="C11" s="318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 t="s">
        <v>506</v>
      </c>
      <c r="B12" s="65">
        <v>2.0</v>
      </c>
      <c r="C12" s="318" t="s">
        <v>93</v>
      </c>
      <c r="D12" s="69"/>
      <c r="E12" s="240"/>
      <c r="F12" s="45"/>
      <c r="G12" s="45"/>
      <c r="H12" s="45"/>
      <c r="I12" s="45"/>
      <c r="J12" s="45"/>
      <c r="K12" s="45"/>
    </row>
    <row r="13">
      <c r="A13" s="225"/>
      <c r="B13" s="5"/>
      <c r="C13" s="67"/>
      <c r="D13" s="69"/>
      <c r="E13" s="235"/>
      <c r="F13" s="45"/>
      <c r="G13" s="45"/>
      <c r="H13" s="45"/>
      <c r="I13" s="45"/>
      <c r="J13" s="45"/>
      <c r="K13" s="45"/>
    </row>
    <row r="14">
      <c r="A14" s="225"/>
      <c r="B14" s="5"/>
      <c r="C14" s="67"/>
      <c r="D14" s="69"/>
      <c r="E14" s="245"/>
      <c r="F14" s="45"/>
      <c r="G14" s="45"/>
      <c r="H14" s="45"/>
      <c r="I14" s="45"/>
      <c r="J14" s="45"/>
      <c r="K14" s="45"/>
    </row>
    <row r="15">
      <c r="A15" s="225"/>
      <c r="B15" s="5"/>
      <c r="C15" s="67"/>
      <c r="D15" s="69"/>
      <c r="E15" s="245"/>
      <c r="F15" s="45"/>
      <c r="G15" s="45"/>
      <c r="H15" s="45"/>
      <c r="I15" s="45"/>
      <c r="J15" s="45"/>
      <c r="K15" s="45"/>
    </row>
    <row r="16">
      <c r="A16" s="230" t="s">
        <v>48</v>
      </c>
      <c r="B16" s="86"/>
      <c r="C16" s="86"/>
      <c r="D16" s="87"/>
      <c r="E16" s="231"/>
      <c r="F16" s="45"/>
      <c r="G16" s="45"/>
      <c r="H16" s="45"/>
      <c r="I16" s="45"/>
      <c r="J16" s="45"/>
      <c r="K16" s="45"/>
    </row>
    <row r="17">
      <c r="A17" s="83" t="s">
        <v>514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>
      <c r="A18" s="83" t="s">
        <v>516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>
      <c r="A19" s="83" t="s">
        <v>519</v>
      </c>
      <c r="B19" s="94"/>
      <c r="C19" s="94"/>
      <c r="D19" s="94"/>
      <c r="E19" s="248"/>
      <c r="F19" s="45"/>
      <c r="G19" s="45"/>
      <c r="H19" s="45"/>
      <c r="I19" s="45"/>
      <c r="J19" s="45"/>
      <c r="K19" s="45"/>
    </row>
    <row r="20" ht="15.75" customHeight="1">
      <c r="A20" s="83" t="s">
        <v>521</v>
      </c>
      <c r="B20" s="94"/>
      <c r="C20" s="94"/>
      <c r="D20" s="94"/>
      <c r="E20" s="248"/>
      <c r="F20" s="45"/>
      <c r="G20" s="45"/>
      <c r="H20" s="45"/>
      <c r="I20" s="45"/>
      <c r="J20" s="45"/>
      <c r="K20" s="45"/>
    </row>
    <row r="21" ht="15.75" customHeight="1">
      <c r="A21" s="273" t="s">
        <v>298</v>
      </c>
      <c r="D21" s="45"/>
      <c r="E21" s="219"/>
      <c r="F21" s="45"/>
      <c r="G21" s="45"/>
      <c r="H21" s="45"/>
      <c r="I21" s="45"/>
      <c r="J21" s="45"/>
      <c r="K21" s="45"/>
    </row>
    <row r="22" ht="15.75" customHeight="1">
      <c r="A22" s="273"/>
      <c r="B22" s="123"/>
      <c r="C22" s="123"/>
      <c r="D22" s="45"/>
      <c r="E22" s="219"/>
      <c r="F22" s="45"/>
      <c r="G22" s="45"/>
      <c r="H22" s="45"/>
      <c r="I22" s="45"/>
      <c r="J22" s="45"/>
      <c r="K22" s="45"/>
    </row>
    <row r="23" ht="15.75" customHeight="1">
      <c r="A23" s="224" t="s">
        <v>529</v>
      </c>
      <c r="B23" s="28"/>
      <c r="C23" s="28"/>
      <c r="D23" s="45"/>
      <c r="E23" s="219"/>
      <c r="F23" s="45"/>
      <c r="G23" s="45"/>
      <c r="H23" s="45"/>
      <c r="I23" s="45"/>
      <c r="J23" s="45"/>
      <c r="K23" s="45"/>
    </row>
    <row r="24" ht="15.75" customHeight="1">
      <c r="A24" s="208" t="s">
        <v>12</v>
      </c>
      <c r="B24" s="211" t="s">
        <v>16</v>
      </c>
      <c r="C24" s="211" t="s">
        <v>20</v>
      </c>
      <c r="D24" s="213" t="s">
        <v>22</v>
      </c>
      <c r="E24" s="235"/>
      <c r="F24" s="45"/>
      <c r="G24" s="45"/>
      <c r="H24" s="45"/>
      <c r="I24" s="45"/>
      <c r="J24" s="45"/>
      <c r="K24" s="45"/>
    </row>
    <row r="25" ht="15.75" customHeight="1">
      <c r="A25" s="83" t="s">
        <v>532</v>
      </c>
      <c r="B25" s="215">
        <v>1000.0</v>
      </c>
      <c r="C25" s="217" t="s">
        <v>112</v>
      </c>
      <c r="D25" s="69"/>
      <c r="E25" s="235"/>
      <c r="F25" s="45"/>
      <c r="G25" s="45"/>
      <c r="H25" s="45"/>
      <c r="I25" s="45"/>
      <c r="J25" s="45"/>
      <c r="K25" s="45"/>
    </row>
    <row r="26" ht="15.75" customHeight="1">
      <c r="A26" s="83" t="s">
        <v>533</v>
      </c>
      <c r="B26" s="215">
        <v>600.0</v>
      </c>
      <c r="C26" s="217"/>
      <c r="D26" s="69"/>
      <c r="E26" s="235"/>
      <c r="F26" s="45"/>
      <c r="G26" s="45"/>
      <c r="H26" s="45"/>
      <c r="I26" s="45"/>
      <c r="J26" s="45"/>
      <c r="K26" s="45"/>
    </row>
    <row r="27" ht="15.75" customHeight="1">
      <c r="A27" s="83" t="s">
        <v>535</v>
      </c>
      <c r="B27" s="215">
        <v>5.0</v>
      </c>
      <c r="C27" s="217" t="s">
        <v>93</v>
      </c>
      <c r="D27" s="69"/>
      <c r="E27" s="245"/>
      <c r="F27" s="45"/>
      <c r="G27" s="45"/>
      <c r="H27" s="45"/>
      <c r="I27" s="45"/>
      <c r="J27" s="45"/>
      <c r="K27" s="45"/>
    </row>
    <row r="28" ht="15.75" customHeight="1">
      <c r="A28" s="83" t="s">
        <v>393</v>
      </c>
      <c r="B28" s="215">
        <v>45.0</v>
      </c>
      <c r="C28" s="217" t="s">
        <v>112</v>
      </c>
      <c r="D28" s="69"/>
      <c r="E28" s="245"/>
      <c r="F28" s="45"/>
      <c r="G28" s="45"/>
      <c r="H28" s="45"/>
      <c r="I28" s="45"/>
      <c r="J28" s="45"/>
      <c r="K28" s="45"/>
    </row>
    <row r="29" ht="15.75" customHeight="1">
      <c r="A29" s="83" t="s">
        <v>537</v>
      </c>
      <c r="B29" s="316">
        <v>46144.0</v>
      </c>
      <c r="C29" s="217" t="s">
        <v>112</v>
      </c>
      <c r="D29" s="69"/>
      <c r="E29" s="245"/>
      <c r="F29" s="45"/>
      <c r="G29" s="45"/>
      <c r="H29" s="45"/>
      <c r="I29" s="45"/>
      <c r="J29" s="45"/>
      <c r="K29" s="45"/>
    </row>
    <row r="30" ht="15.75" customHeight="1">
      <c r="A30" s="83"/>
      <c r="B30" s="215"/>
      <c r="C30" s="217"/>
      <c r="D30" s="69"/>
      <c r="E30" s="245"/>
      <c r="F30" s="45"/>
      <c r="G30" s="45"/>
      <c r="H30" s="45"/>
      <c r="I30" s="45"/>
      <c r="J30" s="45"/>
      <c r="K30" s="45"/>
    </row>
    <row r="31" ht="15.75" customHeight="1">
      <c r="A31" s="313"/>
      <c r="B31" s="121"/>
      <c r="C31" s="127"/>
      <c r="D31" s="69"/>
      <c r="E31" s="245"/>
      <c r="F31" s="45"/>
      <c r="G31" s="45"/>
      <c r="H31" s="45"/>
      <c r="I31" s="45"/>
      <c r="J31" s="45"/>
      <c r="K31" s="45"/>
    </row>
    <row r="32" ht="15.75" customHeight="1">
      <c r="A32" s="230" t="s">
        <v>62</v>
      </c>
      <c r="B32" s="232"/>
      <c r="C32" s="234"/>
      <c r="D32" s="87"/>
      <c r="E32" s="231"/>
      <c r="F32" s="45"/>
      <c r="G32" s="45"/>
      <c r="H32" s="45"/>
      <c r="I32" s="45"/>
      <c r="J32" s="45"/>
      <c r="K32" s="45"/>
    </row>
    <row r="33" ht="15.75" customHeight="1">
      <c r="A33" s="230" t="s">
        <v>64</v>
      </c>
      <c r="B33" s="237"/>
      <c r="C33" s="238"/>
      <c r="D33" s="87"/>
      <c r="E33" s="231"/>
      <c r="F33" s="45"/>
      <c r="G33" s="45"/>
      <c r="H33" s="45"/>
      <c r="I33" s="45"/>
      <c r="J33" s="45"/>
      <c r="K33" s="45"/>
    </row>
    <row r="34" ht="15.75" customHeight="1">
      <c r="A34" s="83" t="s">
        <v>541</v>
      </c>
      <c r="B34" s="118"/>
      <c r="C34" s="120"/>
      <c r="D34" s="121"/>
      <c r="E34" s="303"/>
      <c r="F34" s="45"/>
      <c r="G34" s="45"/>
      <c r="H34" s="45"/>
      <c r="I34" s="45"/>
      <c r="J34" s="45"/>
      <c r="K34" s="45"/>
    </row>
    <row r="35" ht="15.75" customHeight="1">
      <c r="A35" s="83" t="s">
        <v>543</v>
      </c>
      <c r="B35" s="118"/>
      <c r="C35" s="120"/>
      <c r="D35" s="121"/>
      <c r="E35" s="303"/>
      <c r="F35" s="45"/>
      <c r="G35" s="45"/>
      <c r="H35" s="45"/>
      <c r="I35" s="45"/>
      <c r="J35" s="45"/>
      <c r="K35" s="45"/>
    </row>
    <row r="36" ht="15.75" customHeight="1">
      <c r="A36" s="83" t="s">
        <v>544</v>
      </c>
      <c r="B36" s="118"/>
      <c r="C36" s="120"/>
      <c r="D36" s="121"/>
      <c r="E36" s="303"/>
      <c r="F36" s="45"/>
      <c r="G36" s="45"/>
      <c r="H36" s="45"/>
      <c r="I36" s="45"/>
      <c r="J36" s="45"/>
      <c r="K36" s="45"/>
    </row>
    <row r="37" ht="15.75" customHeight="1">
      <c r="A37" s="83" t="s">
        <v>545</v>
      </c>
      <c r="B37" s="118"/>
      <c r="C37" s="120"/>
      <c r="D37" s="121"/>
      <c r="E37" s="303"/>
      <c r="F37" s="45"/>
      <c r="G37" s="45"/>
      <c r="H37" s="45"/>
      <c r="I37" s="45"/>
      <c r="J37" s="45"/>
      <c r="K37" s="45"/>
    </row>
    <row r="38" ht="15.75" customHeight="1">
      <c r="A38" s="83" t="s">
        <v>547</v>
      </c>
      <c r="B38" s="118"/>
      <c r="C38" s="120"/>
      <c r="D38" s="121"/>
      <c r="E38" s="303"/>
      <c r="F38" s="45"/>
      <c r="G38" s="45"/>
      <c r="H38" s="45"/>
      <c r="I38" s="45"/>
      <c r="J38" s="45"/>
      <c r="K38" s="45"/>
    </row>
    <row r="39" ht="15.75" customHeight="1">
      <c r="A39" s="83" t="s">
        <v>549</v>
      </c>
      <c r="B39" s="118"/>
      <c r="C39" s="120"/>
      <c r="D39" s="121"/>
      <c r="E39" s="303"/>
      <c r="F39" s="45"/>
      <c r="G39" s="45"/>
      <c r="H39" s="45"/>
      <c r="I39" s="45"/>
      <c r="J39" s="45"/>
      <c r="K39" s="45"/>
    </row>
    <row r="40" ht="15.75" customHeight="1">
      <c r="A40" s="225"/>
      <c r="B40" s="118"/>
      <c r="C40" s="120"/>
      <c r="D40" s="121"/>
      <c r="E40" s="303"/>
      <c r="F40" s="45"/>
      <c r="G40" s="45"/>
      <c r="H40" s="45"/>
      <c r="I40" s="45"/>
      <c r="J40" s="45"/>
      <c r="K40" s="45"/>
    </row>
    <row r="41" ht="15.75" customHeight="1">
      <c r="A41" s="224" t="s">
        <v>552</v>
      </c>
      <c r="B41" s="28"/>
      <c r="C41" s="28"/>
      <c r="D41" s="45"/>
      <c r="E41" s="219"/>
      <c r="F41" s="45"/>
      <c r="G41" s="45"/>
      <c r="H41" s="45"/>
      <c r="I41" s="45"/>
      <c r="J41" s="45"/>
      <c r="K41" s="45"/>
    </row>
    <row r="42" ht="15.75" customHeight="1">
      <c r="A42" s="208" t="s">
        <v>12</v>
      </c>
      <c r="B42" s="211" t="s">
        <v>16</v>
      </c>
      <c r="C42" s="211" t="s">
        <v>20</v>
      </c>
      <c r="D42" s="213" t="s">
        <v>22</v>
      </c>
      <c r="E42" s="235"/>
    </row>
    <row r="43" ht="15.75" customHeight="1">
      <c r="A43" s="83" t="s">
        <v>553</v>
      </c>
      <c r="B43" s="215">
        <v>200.0</v>
      </c>
      <c r="C43" s="217" t="s">
        <v>112</v>
      </c>
      <c r="D43" s="69"/>
      <c r="E43" s="235"/>
    </row>
    <row r="44" ht="15.75" customHeight="1">
      <c r="A44" s="313"/>
      <c r="B44" s="121"/>
      <c r="C44" s="127"/>
      <c r="D44" s="69"/>
      <c r="E44" s="245"/>
    </row>
    <row r="45" ht="15.75" customHeight="1">
      <c r="A45" s="230" t="s">
        <v>62</v>
      </c>
      <c r="B45" s="232"/>
      <c r="C45" s="234"/>
      <c r="D45" s="87"/>
      <c r="E45" s="231"/>
    </row>
    <row r="46" ht="15.75" customHeight="1">
      <c r="A46" s="230" t="s">
        <v>64</v>
      </c>
      <c r="B46" s="237"/>
      <c r="C46" s="238"/>
      <c r="D46" s="87"/>
      <c r="E46" s="231"/>
    </row>
    <row r="47" ht="15.75" customHeight="1">
      <c r="A47" s="83" t="s">
        <v>556</v>
      </c>
      <c r="B47" s="118"/>
      <c r="C47" s="120"/>
      <c r="D47" s="121"/>
      <c r="E47" s="303"/>
    </row>
    <row r="48" ht="15.75" customHeight="1">
      <c r="A48" s="83" t="s">
        <v>558</v>
      </c>
      <c r="B48" s="118"/>
      <c r="C48" s="120"/>
      <c r="D48" s="121"/>
      <c r="E48" s="303"/>
    </row>
    <row r="49" ht="15.75" customHeight="1">
      <c r="A49" s="83" t="s">
        <v>559</v>
      </c>
      <c r="B49" s="118"/>
      <c r="C49" s="120"/>
      <c r="D49" s="121"/>
      <c r="E49" s="303"/>
    </row>
    <row r="50" ht="15.75" customHeight="1">
      <c r="A50" s="83" t="s">
        <v>561</v>
      </c>
      <c r="B50" s="118"/>
      <c r="C50" s="120"/>
      <c r="D50" s="121"/>
      <c r="E50" s="303"/>
    </row>
    <row r="51" ht="15.75" customHeight="1">
      <c r="A51" s="83"/>
      <c r="B51" s="118"/>
      <c r="C51" s="120"/>
      <c r="D51" s="121"/>
      <c r="E51" s="303"/>
    </row>
    <row r="52" ht="15.75" customHeight="1">
      <c r="A52" s="224" t="s">
        <v>563</v>
      </c>
      <c r="B52" s="28"/>
      <c r="C52" s="28"/>
      <c r="D52" s="45"/>
      <c r="E52" s="219"/>
    </row>
    <row r="53" ht="15.75" customHeight="1">
      <c r="A53" s="208" t="s">
        <v>12</v>
      </c>
      <c r="B53" s="211" t="s">
        <v>16</v>
      </c>
      <c r="C53" s="211" t="s">
        <v>20</v>
      </c>
      <c r="D53" s="213" t="s">
        <v>22</v>
      </c>
      <c r="E53" s="235"/>
    </row>
    <row r="54" ht="15.75" customHeight="1">
      <c r="A54" s="83" t="s">
        <v>564</v>
      </c>
      <c r="B54" s="316">
        <v>46054.0</v>
      </c>
      <c r="C54" s="217" t="s">
        <v>112</v>
      </c>
      <c r="D54" s="69"/>
      <c r="E54" s="235"/>
    </row>
    <row r="55" ht="15.75" customHeight="1">
      <c r="A55" s="83" t="s">
        <v>109</v>
      </c>
      <c r="B55" s="215">
        <v>100.0</v>
      </c>
      <c r="C55" s="217" t="s">
        <v>25</v>
      </c>
      <c r="D55" s="69"/>
      <c r="E55" s="245"/>
    </row>
    <row r="56" ht="15.75" customHeight="1">
      <c r="A56" s="313"/>
      <c r="B56" s="121"/>
      <c r="C56" s="127"/>
      <c r="D56" s="69"/>
      <c r="E56" s="245"/>
    </row>
    <row r="57" ht="15.75" customHeight="1">
      <c r="A57" s="230" t="s">
        <v>62</v>
      </c>
      <c r="B57" s="232"/>
      <c r="C57" s="234"/>
      <c r="D57" s="87"/>
      <c r="E57" s="231"/>
    </row>
    <row r="58" ht="15.75" customHeight="1">
      <c r="A58" s="230" t="s">
        <v>64</v>
      </c>
      <c r="B58" s="237"/>
      <c r="C58" s="238"/>
      <c r="D58" s="87"/>
      <c r="E58" s="231"/>
    </row>
    <row r="59" ht="15.75" customHeight="1">
      <c r="A59" s="83" t="s">
        <v>567</v>
      </c>
      <c r="B59" s="118"/>
      <c r="C59" s="120"/>
      <c r="D59" s="121"/>
      <c r="E59" s="303"/>
    </row>
    <row r="60" ht="15.75" customHeight="1">
      <c r="A60" s="83" t="s">
        <v>569</v>
      </c>
      <c r="B60" s="118"/>
      <c r="C60" s="120"/>
      <c r="D60" s="121"/>
      <c r="E60" s="303"/>
    </row>
    <row r="61" ht="15.75" customHeight="1">
      <c r="A61" s="83"/>
      <c r="B61" s="118"/>
      <c r="C61" s="120"/>
      <c r="D61" s="121"/>
      <c r="E61" s="303"/>
    </row>
    <row r="62" ht="15.75" customHeight="1">
      <c r="A62" s="308"/>
      <c r="B62" s="310"/>
      <c r="C62" s="310"/>
      <c r="D62" s="310"/>
      <c r="E62" s="31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15">
    <mergeCell ref="A21:C21"/>
    <mergeCell ref="D24:E24"/>
    <mergeCell ref="D25:E25"/>
    <mergeCell ref="D26:E26"/>
    <mergeCell ref="D42:E42"/>
    <mergeCell ref="D43:E43"/>
    <mergeCell ref="D53:E53"/>
    <mergeCell ref="D54:E54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314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2" t="s">
        <v>507</v>
      </c>
      <c r="E3" s="226"/>
      <c r="F3" s="4"/>
      <c r="G3" s="4"/>
      <c r="H3" s="4"/>
      <c r="I3" s="4"/>
      <c r="J3" s="4"/>
      <c r="K3" s="4"/>
    </row>
    <row r="4" ht="18.0" customHeight="1">
      <c r="A4" s="224" t="s">
        <v>258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511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14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01" t="s">
        <v>310</v>
      </c>
      <c r="B7" s="28"/>
      <c r="C7" s="28"/>
      <c r="D7" s="21"/>
      <c r="E7" s="226"/>
      <c r="F7" s="25"/>
      <c r="G7" s="25"/>
      <c r="H7" s="25"/>
      <c r="I7" s="25"/>
      <c r="J7" s="25"/>
      <c r="K7" s="25"/>
    </row>
    <row r="8">
      <c r="A8" s="208" t="s">
        <v>12</v>
      </c>
      <c r="B8" s="211" t="s">
        <v>16</v>
      </c>
      <c r="C8" s="211" t="s">
        <v>20</v>
      </c>
      <c r="D8" s="213" t="s">
        <v>22</v>
      </c>
      <c r="E8" s="235"/>
      <c r="F8" s="45"/>
      <c r="G8" s="45"/>
      <c r="H8" s="45"/>
      <c r="I8" s="45"/>
      <c r="J8" s="45"/>
      <c r="K8" s="45"/>
    </row>
    <row r="9">
      <c r="A9" s="83" t="s">
        <v>518</v>
      </c>
      <c r="B9" s="65">
        <v>50.0</v>
      </c>
      <c r="C9" s="318" t="s">
        <v>25</v>
      </c>
      <c r="D9" s="69"/>
      <c r="E9" s="235"/>
      <c r="F9" s="45"/>
      <c r="G9" s="45"/>
      <c r="H9" s="45"/>
      <c r="I9" s="45"/>
      <c r="J9" s="45"/>
      <c r="K9" s="45"/>
    </row>
    <row r="10">
      <c r="A10" s="83" t="s">
        <v>522</v>
      </c>
      <c r="B10" s="65">
        <v>20.0</v>
      </c>
      <c r="C10" s="318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523</v>
      </c>
      <c r="B11" s="65">
        <v>10.0</v>
      </c>
      <c r="C11" s="318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 t="s">
        <v>524</v>
      </c>
      <c r="B12" s="65">
        <v>1.0</v>
      </c>
      <c r="C12" s="318" t="s">
        <v>525</v>
      </c>
      <c r="D12" s="69"/>
      <c r="E12" s="240"/>
      <c r="F12" s="45"/>
      <c r="G12" s="45"/>
      <c r="H12" s="45"/>
      <c r="I12" s="45"/>
      <c r="J12" s="45"/>
      <c r="K12" s="45"/>
    </row>
    <row r="13">
      <c r="A13" s="83" t="s">
        <v>527</v>
      </c>
      <c r="B13" s="65">
        <v>15.0</v>
      </c>
      <c r="C13" s="74" t="s">
        <v>25</v>
      </c>
      <c r="D13" s="69"/>
      <c r="E13" s="235"/>
      <c r="F13" s="45"/>
      <c r="G13" s="45"/>
      <c r="H13" s="45"/>
      <c r="I13" s="45"/>
      <c r="J13" s="45"/>
      <c r="K13" s="45"/>
    </row>
    <row r="14">
      <c r="A14" s="225"/>
      <c r="B14" s="5"/>
      <c r="C14" s="67"/>
      <c r="D14" s="69"/>
      <c r="E14" s="245"/>
      <c r="F14" s="45"/>
      <c r="G14" s="45"/>
      <c r="H14" s="45"/>
      <c r="I14" s="45"/>
      <c r="J14" s="45"/>
      <c r="K14" s="45"/>
    </row>
    <row r="15">
      <c r="A15" s="225"/>
      <c r="B15" s="5"/>
      <c r="C15" s="67"/>
      <c r="D15" s="69"/>
      <c r="E15" s="245"/>
      <c r="F15" s="45"/>
      <c r="G15" s="45"/>
      <c r="H15" s="45"/>
      <c r="I15" s="45"/>
      <c r="J15" s="45"/>
      <c r="K15" s="45"/>
    </row>
    <row r="16">
      <c r="A16" s="230" t="s">
        <v>48</v>
      </c>
      <c r="B16" s="86"/>
      <c r="C16" s="86"/>
      <c r="D16" s="87"/>
      <c r="E16" s="231"/>
      <c r="F16" s="45"/>
      <c r="G16" s="45"/>
      <c r="H16" s="45"/>
      <c r="I16" s="45"/>
      <c r="J16" s="45"/>
      <c r="K16" s="45"/>
    </row>
    <row r="17">
      <c r="A17" s="83" t="s">
        <v>534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>
      <c r="A18" s="83" t="s">
        <v>536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>
      <c r="A19" s="83" t="s">
        <v>538</v>
      </c>
      <c r="B19" s="94"/>
      <c r="C19" s="94"/>
      <c r="D19" s="94"/>
      <c r="E19" s="248"/>
      <c r="F19" s="45"/>
      <c r="G19" s="45"/>
      <c r="H19" s="45"/>
      <c r="I19" s="45"/>
      <c r="J19" s="45"/>
      <c r="K19" s="45"/>
    </row>
    <row r="20" ht="15.75" customHeight="1">
      <c r="A20" s="83" t="s">
        <v>539</v>
      </c>
      <c r="B20" s="94"/>
      <c r="C20" s="94"/>
      <c r="D20" s="94"/>
      <c r="E20" s="248"/>
      <c r="F20" s="45"/>
      <c r="G20" s="45"/>
      <c r="H20" s="45"/>
      <c r="I20" s="45"/>
      <c r="J20" s="45"/>
      <c r="K20" s="45"/>
    </row>
    <row r="21" ht="15.75" customHeight="1">
      <c r="A21" s="273" t="s">
        <v>298</v>
      </c>
      <c r="D21" s="45"/>
      <c r="E21" s="219"/>
      <c r="F21" s="45"/>
      <c r="G21" s="45"/>
      <c r="H21" s="45"/>
      <c r="I21" s="45"/>
      <c r="J21" s="45"/>
      <c r="K21" s="45"/>
    </row>
    <row r="22" ht="15.75" customHeight="1">
      <c r="A22" s="273"/>
      <c r="B22" s="123"/>
      <c r="C22" s="123"/>
      <c r="D22" s="45"/>
      <c r="E22" s="219"/>
      <c r="F22" s="45"/>
      <c r="G22" s="45"/>
      <c r="H22" s="45"/>
      <c r="I22" s="45"/>
      <c r="J22" s="45"/>
      <c r="K22" s="45"/>
    </row>
    <row r="23" ht="15.75" customHeight="1">
      <c r="A23" s="224" t="s">
        <v>540</v>
      </c>
      <c r="B23" s="28"/>
      <c r="C23" s="28"/>
      <c r="D23" s="45"/>
      <c r="E23" s="219"/>
      <c r="F23" s="45"/>
      <c r="G23" s="45"/>
      <c r="H23" s="45"/>
      <c r="I23" s="45"/>
      <c r="J23" s="45"/>
      <c r="K23" s="45"/>
    </row>
    <row r="24" ht="15.75" customHeight="1">
      <c r="A24" s="208" t="s">
        <v>12</v>
      </c>
      <c r="B24" s="211" t="s">
        <v>16</v>
      </c>
      <c r="C24" s="211" t="s">
        <v>20</v>
      </c>
      <c r="D24" s="213" t="s">
        <v>22</v>
      </c>
      <c r="E24" s="235"/>
      <c r="F24" s="45"/>
      <c r="G24" s="45"/>
      <c r="H24" s="45"/>
      <c r="I24" s="45"/>
      <c r="J24" s="45"/>
      <c r="K24" s="45"/>
    </row>
    <row r="25" ht="15.75" customHeight="1">
      <c r="A25" s="83" t="s">
        <v>542</v>
      </c>
      <c r="B25" s="215">
        <v>100.0</v>
      </c>
      <c r="C25" s="217" t="s">
        <v>112</v>
      </c>
      <c r="D25" s="69"/>
      <c r="E25" s="235"/>
      <c r="F25" s="45"/>
      <c r="G25" s="45"/>
      <c r="H25" s="45"/>
      <c r="I25" s="45"/>
      <c r="J25" s="45"/>
      <c r="K25" s="45"/>
    </row>
    <row r="26" ht="15.75" customHeight="1">
      <c r="A26" s="83" t="s">
        <v>109</v>
      </c>
      <c r="B26" s="215">
        <v>250.0</v>
      </c>
      <c r="C26" s="217" t="s">
        <v>25</v>
      </c>
      <c r="D26" s="69"/>
      <c r="E26" s="235"/>
      <c r="F26" s="45"/>
      <c r="G26" s="45"/>
      <c r="H26" s="45"/>
      <c r="I26" s="45"/>
      <c r="J26" s="45"/>
      <c r="K26" s="45"/>
    </row>
    <row r="27" ht="15.75" customHeight="1">
      <c r="A27" s="83" t="s">
        <v>546</v>
      </c>
      <c r="B27" s="215">
        <v>3.0</v>
      </c>
      <c r="C27" s="217" t="s">
        <v>112</v>
      </c>
      <c r="D27" s="69"/>
      <c r="E27" s="245"/>
      <c r="F27" s="45"/>
      <c r="G27" s="45"/>
      <c r="H27" s="45"/>
      <c r="I27" s="45"/>
      <c r="J27" s="45"/>
      <c r="K27" s="45"/>
    </row>
    <row r="28" ht="15.75" customHeight="1">
      <c r="A28" s="83" t="s">
        <v>548</v>
      </c>
      <c r="B28" s="316">
        <v>46143.0</v>
      </c>
      <c r="C28" s="217" t="s">
        <v>112</v>
      </c>
      <c r="D28" s="69"/>
      <c r="E28" s="245"/>
      <c r="F28" s="45"/>
      <c r="G28" s="45"/>
      <c r="H28" s="45"/>
      <c r="I28" s="45"/>
      <c r="J28" s="45"/>
      <c r="K28" s="45"/>
    </row>
    <row r="29" ht="15.75" customHeight="1">
      <c r="A29" s="83" t="s">
        <v>550</v>
      </c>
      <c r="B29" s="215" t="s">
        <v>551</v>
      </c>
      <c r="C29" s="217" t="s">
        <v>112</v>
      </c>
      <c r="D29" s="69"/>
      <c r="E29" s="245"/>
      <c r="F29" s="45"/>
      <c r="G29" s="45"/>
      <c r="H29" s="45"/>
      <c r="I29" s="45"/>
      <c r="J29" s="45"/>
      <c r="K29" s="45"/>
    </row>
    <row r="30" ht="15.75" customHeight="1">
      <c r="A30" s="313"/>
      <c r="B30" s="121"/>
      <c r="C30" s="127"/>
      <c r="D30" s="69"/>
      <c r="E30" s="245"/>
      <c r="F30" s="45"/>
      <c r="G30" s="45"/>
      <c r="H30" s="45"/>
      <c r="I30" s="45"/>
      <c r="J30" s="45"/>
      <c r="K30" s="45"/>
    </row>
    <row r="31" ht="15.75" customHeight="1">
      <c r="A31" s="230" t="s">
        <v>62</v>
      </c>
      <c r="B31" s="232"/>
      <c r="C31" s="234"/>
      <c r="D31" s="87"/>
      <c r="E31" s="231"/>
      <c r="F31" s="45"/>
      <c r="G31" s="45"/>
      <c r="H31" s="45"/>
      <c r="I31" s="45"/>
      <c r="J31" s="45"/>
      <c r="K31" s="45"/>
    </row>
    <row r="32" ht="15.75" customHeight="1">
      <c r="A32" s="230" t="s">
        <v>64</v>
      </c>
      <c r="B32" s="237"/>
      <c r="C32" s="238"/>
      <c r="D32" s="87"/>
      <c r="E32" s="231"/>
      <c r="F32" s="45"/>
      <c r="G32" s="45"/>
      <c r="H32" s="45"/>
      <c r="I32" s="45"/>
      <c r="J32" s="45"/>
      <c r="K32" s="45"/>
    </row>
    <row r="33" ht="15.75" customHeight="1">
      <c r="A33" s="83" t="s">
        <v>554</v>
      </c>
      <c r="B33" s="118"/>
      <c r="C33" s="120"/>
      <c r="D33" s="121"/>
      <c r="E33" s="303"/>
      <c r="F33" s="45"/>
      <c r="G33" s="45"/>
      <c r="H33" s="45"/>
      <c r="I33" s="45"/>
      <c r="J33" s="45"/>
      <c r="K33" s="45"/>
    </row>
    <row r="34" ht="15.75" customHeight="1">
      <c r="A34" s="83" t="s">
        <v>555</v>
      </c>
      <c r="B34" s="118"/>
      <c r="C34" s="120"/>
      <c r="D34" s="121"/>
      <c r="E34" s="303"/>
      <c r="F34" s="45"/>
      <c r="G34" s="45"/>
      <c r="H34" s="45"/>
      <c r="I34" s="45"/>
      <c r="J34" s="45"/>
      <c r="K34" s="45"/>
    </row>
    <row r="35" ht="15.75" customHeight="1">
      <c r="A35" s="83" t="s">
        <v>557</v>
      </c>
      <c r="B35" s="118"/>
      <c r="C35" s="120"/>
      <c r="D35" s="121"/>
      <c r="E35" s="303"/>
      <c r="F35" s="45"/>
      <c r="G35" s="45"/>
      <c r="H35" s="45"/>
      <c r="I35" s="45"/>
      <c r="J35" s="45"/>
      <c r="K35" s="45"/>
    </row>
    <row r="36" ht="15.75" customHeight="1">
      <c r="A36" s="83" t="s">
        <v>560</v>
      </c>
      <c r="B36" s="118"/>
      <c r="C36" s="120"/>
      <c r="D36" s="121"/>
      <c r="E36" s="303"/>
      <c r="F36" s="45"/>
      <c r="G36" s="45"/>
      <c r="H36" s="45"/>
      <c r="I36" s="45"/>
      <c r="J36" s="45"/>
      <c r="K36" s="45"/>
    </row>
    <row r="37" ht="15.75" customHeight="1">
      <c r="A37" s="83" t="s">
        <v>562</v>
      </c>
      <c r="B37" s="118"/>
      <c r="C37" s="120"/>
      <c r="D37" s="121"/>
      <c r="E37" s="303"/>
      <c r="F37" s="45"/>
      <c r="G37" s="45"/>
      <c r="H37" s="45"/>
      <c r="I37" s="45"/>
      <c r="J37" s="45"/>
      <c r="K37" s="45"/>
    </row>
    <row r="38" ht="15.75" customHeight="1">
      <c r="A38" s="83"/>
      <c r="B38" s="118"/>
      <c r="C38" s="120"/>
      <c r="D38" s="121"/>
      <c r="E38" s="303"/>
      <c r="F38" s="45"/>
      <c r="G38" s="45"/>
      <c r="H38" s="45"/>
      <c r="I38" s="45"/>
      <c r="J38" s="45"/>
      <c r="K38" s="45"/>
    </row>
    <row r="39" ht="15.75" customHeight="1">
      <c r="A39" s="225"/>
      <c r="B39" s="118"/>
      <c r="C39" s="120"/>
      <c r="D39" s="121"/>
      <c r="E39" s="303"/>
      <c r="F39" s="45"/>
      <c r="G39" s="45"/>
      <c r="H39" s="45"/>
      <c r="I39" s="45"/>
      <c r="J39" s="45"/>
      <c r="K39" s="45"/>
    </row>
    <row r="40" ht="15.75" customHeight="1">
      <c r="A40" s="224" t="s">
        <v>565</v>
      </c>
      <c r="B40" s="28"/>
      <c r="C40" s="28"/>
      <c r="D40" s="45"/>
      <c r="E40" s="219"/>
      <c r="F40" s="45"/>
      <c r="G40" s="45"/>
      <c r="H40" s="45"/>
      <c r="I40" s="45"/>
      <c r="J40" s="45"/>
      <c r="K40" s="45"/>
    </row>
    <row r="41" ht="15.75" customHeight="1">
      <c r="A41" s="208" t="s">
        <v>12</v>
      </c>
      <c r="B41" s="211" t="s">
        <v>16</v>
      </c>
      <c r="C41" s="211" t="s">
        <v>20</v>
      </c>
      <c r="D41" s="213" t="s">
        <v>22</v>
      </c>
      <c r="E41" s="235"/>
    </row>
    <row r="42" ht="15.75" customHeight="1">
      <c r="A42" s="83" t="s">
        <v>566</v>
      </c>
      <c r="B42" s="320">
        <v>300.0</v>
      </c>
      <c r="C42" s="321" t="s">
        <v>112</v>
      </c>
      <c r="D42" s="69"/>
      <c r="E42" s="235"/>
    </row>
    <row r="43" ht="15.75" customHeight="1">
      <c r="A43" s="83" t="s">
        <v>568</v>
      </c>
      <c r="B43" s="320">
        <v>8.0</v>
      </c>
      <c r="C43" s="321" t="s">
        <v>93</v>
      </c>
      <c r="D43" s="69"/>
      <c r="E43" s="245"/>
    </row>
    <row r="44" ht="15.75" customHeight="1">
      <c r="A44" s="83" t="s">
        <v>570</v>
      </c>
      <c r="B44" s="320">
        <v>250.0</v>
      </c>
      <c r="C44" s="321" t="s">
        <v>25</v>
      </c>
      <c r="D44" s="69"/>
      <c r="E44" s="245"/>
    </row>
    <row r="45" ht="15.75" customHeight="1">
      <c r="A45" s="313"/>
      <c r="B45" s="121"/>
      <c r="C45" s="127"/>
      <c r="D45" s="69"/>
      <c r="E45" s="245"/>
    </row>
    <row r="46" ht="15.75" customHeight="1">
      <c r="A46" s="230" t="s">
        <v>62</v>
      </c>
      <c r="B46" s="232"/>
      <c r="C46" s="234"/>
      <c r="D46" s="87"/>
      <c r="E46" s="231"/>
    </row>
    <row r="47" ht="15.75" customHeight="1">
      <c r="A47" s="230" t="s">
        <v>64</v>
      </c>
      <c r="B47" s="237"/>
      <c r="C47" s="238"/>
      <c r="D47" s="87"/>
      <c r="E47" s="231"/>
    </row>
    <row r="48" ht="15.75" customHeight="1">
      <c r="A48" s="83" t="s">
        <v>571</v>
      </c>
      <c r="B48" s="118"/>
      <c r="C48" s="120"/>
      <c r="D48" s="121"/>
      <c r="E48" s="303"/>
    </row>
    <row r="49" ht="15.75" customHeight="1">
      <c r="A49" s="83" t="s">
        <v>572</v>
      </c>
      <c r="B49" s="118"/>
      <c r="C49" s="120"/>
      <c r="D49" s="121"/>
      <c r="E49" s="303"/>
    </row>
    <row r="50" ht="15.75" customHeight="1">
      <c r="A50" s="83" t="s">
        <v>573</v>
      </c>
      <c r="B50" s="118"/>
      <c r="C50" s="120"/>
      <c r="D50" s="121"/>
      <c r="E50" s="303"/>
    </row>
    <row r="51" ht="15.75" customHeight="1">
      <c r="A51" s="83" t="s">
        <v>574</v>
      </c>
      <c r="B51" s="118"/>
      <c r="C51" s="120"/>
      <c r="D51" s="121"/>
      <c r="E51" s="303"/>
    </row>
    <row r="52" ht="15.75" customHeight="1">
      <c r="A52" s="83" t="s">
        <v>575</v>
      </c>
      <c r="B52" s="118"/>
      <c r="C52" s="120"/>
      <c r="D52" s="121"/>
      <c r="E52" s="303"/>
    </row>
    <row r="53" ht="15.75" customHeight="1">
      <c r="A53" s="224"/>
      <c r="B53" s="28"/>
      <c r="C53" s="28"/>
      <c r="D53" s="45"/>
      <c r="E53" s="219"/>
    </row>
    <row r="54" ht="15.75" customHeight="1">
      <c r="A54" s="224" t="s">
        <v>576</v>
      </c>
      <c r="B54" s="28"/>
      <c r="C54" s="28"/>
      <c r="D54" s="45"/>
      <c r="E54" s="219"/>
    </row>
    <row r="55" ht="15.75" customHeight="1">
      <c r="A55" s="208" t="s">
        <v>12</v>
      </c>
      <c r="B55" s="211" t="s">
        <v>16</v>
      </c>
      <c r="C55" s="211" t="s">
        <v>20</v>
      </c>
      <c r="D55" s="213" t="s">
        <v>22</v>
      </c>
      <c r="E55" s="235"/>
    </row>
    <row r="56" ht="15.75" customHeight="1">
      <c r="A56" s="83" t="s">
        <v>565</v>
      </c>
      <c r="B56" s="320">
        <v>150.0</v>
      </c>
      <c r="C56" s="321" t="s">
        <v>25</v>
      </c>
      <c r="D56" s="69"/>
      <c r="E56" s="235"/>
    </row>
    <row r="57" ht="15.75" customHeight="1">
      <c r="A57" s="83" t="s">
        <v>577</v>
      </c>
      <c r="B57" s="320">
        <v>2.0</v>
      </c>
      <c r="C57" s="321" t="s">
        <v>112</v>
      </c>
      <c r="D57" s="69"/>
      <c r="E57" s="245"/>
    </row>
    <row r="58" ht="15.75" customHeight="1">
      <c r="A58" s="313"/>
      <c r="B58" s="121"/>
      <c r="C58" s="127"/>
      <c r="D58" s="69"/>
      <c r="E58" s="245"/>
    </row>
    <row r="59" ht="15.75" customHeight="1">
      <c r="A59" s="230" t="s">
        <v>62</v>
      </c>
      <c r="B59" s="232"/>
      <c r="C59" s="234"/>
      <c r="D59" s="87"/>
      <c r="E59" s="231"/>
    </row>
    <row r="60" ht="15.75" customHeight="1">
      <c r="A60" s="230" t="s">
        <v>64</v>
      </c>
      <c r="B60" s="237"/>
      <c r="C60" s="238"/>
      <c r="D60" s="87"/>
      <c r="E60" s="231"/>
    </row>
    <row r="61" ht="15.75" customHeight="1">
      <c r="A61" s="83" t="s">
        <v>578</v>
      </c>
      <c r="B61" s="118"/>
      <c r="C61" s="120"/>
      <c r="D61" s="121"/>
      <c r="E61" s="303"/>
    </row>
    <row r="62" ht="15.75" customHeight="1">
      <c r="A62" s="83" t="s">
        <v>579</v>
      </c>
      <c r="B62" s="118"/>
      <c r="C62" s="120"/>
      <c r="D62" s="121"/>
      <c r="E62" s="303"/>
    </row>
    <row r="63" ht="15.75" customHeight="1">
      <c r="A63" s="83" t="s">
        <v>580</v>
      </c>
      <c r="B63" s="118"/>
      <c r="C63" s="120"/>
      <c r="D63" s="121"/>
      <c r="E63" s="303"/>
    </row>
    <row r="64" ht="15.75" customHeight="1">
      <c r="A64" s="322" t="s">
        <v>581</v>
      </c>
      <c r="B64" s="310"/>
      <c r="C64" s="310"/>
      <c r="D64" s="310"/>
      <c r="E64" s="311"/>
    </row>
    <row r="65" ht="15.75" customHeight="1">
      <c r="A65" s="317" t="s">
        <v>582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15">
    <mergeCell ref="A21:C21"/>
    <mergeCell ref="D24:E24"/>
    <mergeCell ref="D25:E25"/>
    <mergeCell ref="D26:E26"/>
    <mergeCell ref="D41:E41"/>
    <mergeCell ref="D42:E42"/>
    <mergeCell ref="D55:E55"/>
    <mergeCell ref="D56:E56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253"/>
      <c r="B1" s="254"/>
      <c r="C1" s="314"/>
      <c r="D1" s="256"/>
      <c r="E1" s="257"/>
      <c r="F1" s="4"/>
      <c r="G1" s="4"/>
      <c r="H1" s="4"/>
      <c r="I1" s="4"/>
      <c r="J1" s="4"/>
      <c r="K1" s="4"/>
    </row>
    <row r="2" ht="6.0" customHeight="1">
      <c r="A2" s="259"/>
      <c r="B2" s="7"/>
      <c r="C2" s="6"/>
      <c r="D2" s="6"/>
      <c r="E2" s="261"/>
      <c r="F2" s="4"/>
      <c r="G2" s="4"/>
      <c r="H2" s="4"/>
      <c r="I2" s="4"/>
      <c r="J2" s="4"/>
      <c r="K2" s="4"/>
    </row>
    <row r="3" ht="57.0" customHeight="1">
      <c r="A3" s="262" t="s">
        <v>583</v>
      </c>
      <c r="E3" s="226"/>
      <c r="F3" s="4"/>
      <c r="G3" s="4"/>
      <c r="H3" s="4"/>
      <c r="I3" s="4"/>
      <c r="J3" s="4"/>
      <c r="K3" s="4"/>
    </row>
    <row r="4" ht="18.0" customHeight="1">
      <c r="A4" s="224" t="s">
        <v>258</v>
      </c>
      <c r="B4" s="8"/>
      <c r="C4" s="8"/>
      <c r="D4" s="8"/>
      <c r="E4" s="226"/>
      <c r="F4" s="4"/>
      <c r="G4" s="4"/>
      <c r="H4" s="4"/>
      <c r="I4" s="4"/>
      <c r="J4" s="4"/>
      <c r="K4" s="4"/>
    </row>
    <row r="5">
      <c r="A5" s="201" t="s">
        <v>584</v>
      </c>
      <c r="D5" s="21"/>
      <c r="E5" s="226"/>
      <c r="F5" s="25"/>
      <c r="G5" s="25"/>
      <c r="H5" s="25"/>
      <c r="I5" s="25"/>
      <c r="J5" s="25"/>
      <c r="K5" s="25"/>
    </row>
    <row r="6">
      <c r="A6" s="201" t="s">
        <v>585</v>
      </c>
      <c r="B6" s="28"/>
      <c r="C6" s="28"/>
      <c r="D6" s="21"/>
      <c r="E6" s="226"/>
      <c r="F6" s="25"/>
      <c r="G6" s="25"/>
      <c r="H6" s="25"/>
      <c r="I6" s="25"/>
      <c r="J6" s="25"/>
      <c r="K6" s="25"/>
    </row>
    <row r="7">
      <c r="A7" s="201" t="s">
        <v>310</v>
      </c>
      <c r="B7" s="28"/>
      <c r="C7" s="28"/>
      <c r="D7" s="21"/>
      <c r="E7" s="226"/>
      <c r="F7" s="25"/>
      <c r="G7" s="25"/>
      <c r="H7" s="25"/>
      <c r="I7" s="25"/>
      <c r="J7" s="25"/>
      <c r="K7" s="25"/>
    </row>
    <row r="8">
      <c r="A8" s="208" t="s">
        <v>12</v>
      </c>
      <c r="B8" s="211" t="s">
        <v>16</v>
      </c>
      <c r="C8" s="211" t="s">
        <v>20</v>
      </c>
      <c r="D8" s="213" t="s">
        <v>22</v>
      </c>
      <c r="E8" s="235"/>
      <c r="F8" s="45"/>
      <c r="G8" s="45"/>
      <c r="H8" s="45"/>
      <c r="I8" s="45"/>
      <c r="J8" s="45"/>
      <c r="K8" s="45"/>
    </row>
    <row r="9">
      <c r="A9" s="83" t="s">
        <v>193</v>
      </c>
      <c r="B9" s="65">
        <v>40.0</v>
      </c>
      <c r="C9" s="318" t="s">
        <v>25</v>
      </c>
      <c r="D9" s="69"/>
      <c r="E9" s="235"/>
      <c r="F9" s="45"/>
      <c r="G9" s="45"/>
      <c r="H9" s="45"/>
      <c r="I9" s="45"/>
      <c r="J9" s="45"/>
      <c r="K9" s="45"/>
    </row>
    <row r="10">
      <c r="A10" s="83" t="s">
        <v>586</v>
      </c>
      <c r="B10" s="65">
        <v>20.0</v>
      </c>
      <c r="C10" s="318" t="s">
        <v>25</v>
      </c>
      <c r="D10" s="69"/>
      <c r="E10" s="235"/>
      <c r="F10" s="45"/>
      <c r="G10" s="45"/>
      <c r="H10" s="45"/>
      <c r="I10" s="45"/>
      <c r="J10" s="45"/>
      <c r="K10" s="45"/>
    </row>
    <row r="11">
      <c r="A11" s="83" t="s">
        <v>587</v>
      </c>
      <c r="B11" s="65">
        <v>20.0</v>
      </c>
      <c r="C11" s="318" t="s">
        <v>25</v>
      </c>
      <c r="D11" s="69"/>
      <c r="E11" s="235"/>
      <c r="F11" s="45"/>
      <c r="G11" s="45"/>
      <c r="H11" s="45"/>
      <c r="I11" s="45"/>
      <c r="J11" s="45"/>
      <c r="K11" s="45"/>
    </row>
    <row r="12">
      <c r="A12" s="83" t="s">
        <v>588</v>
      </c>
      <c r="B12" s="65">
        <v>20.0</v>
      </c>
      <c r="C12" s="318" t="s">
        <v>25</v>
      </c>
      <c r="D12" s="69"/>
      <c r="E12" s="240"/>
      <c r="F12" s="45"/>
      <c r="G12" s="45"/>
      <c r="H12" s="45"/>
      <c r="I12" s="45"/>
      <c r="J12" s="45"/>
      <c r="K12" s="45"/>
    </row>
    <row r="13">
      <c r="A13" s="83"/>
      <c r="B13" s="65"/>
      <c r="C13" s="74"/>
      <c r="D13" s="69"/>
      <c r="E13" s="235"/>
      <c r="F13" s="45"/>
      <c r="G13" s="45"/>
      <c r="H13" s="45"/>
      <c r="I13" s="45"/>
      <c r="J13" s="45"/>
      <c r="K13" s="45"/>
    </row>
    <row r="14">
      <c r="A14" s="225"/>
      <c r="B14" s="5"/>
      <c r="C14" s="67"/>
      <c r="D14" s="69"/>
      <c r="E14" s="245"/>
      <c r="F14" s="45"/>
      <c r="G14" s="45"/>
      <c r="H14" s="45"/>
      <c r="I14" s="45"/>
      <c r="J14" s="45"/>
      <c r="K14" s="45"/>
    </row>
    <row r="15">
      <c r="A15" s="83" t="s">
        <v>589</v>
      </c>
      <c r="B15" s="5"/>
      <c r="C15" s="67"/>
      <c r="D15" s="69"/>
      <c r="E15" s="245"/>
      <c r="F15" s="45"/>
      <c r="G15" s="45"/>
      <c r="H15" s="45"/>
      <c r="I15" s="45"/>
      <c r="J15" s="45"/>
      <c r="K15" s="45"/>
    </row>
    <row r="16">
      <c r="A16" s="230" t="s">
        <v>48</v>
      </c>
      <c r="B16" s="86"/>
      <c r="C16" s="86"/>
      <c r="D16" s="87"/>
      <c r="E16" s="231"/>
      <c r="F16" s="45"/>
      <c r="G16" s="45"/>
      <c r="H16" s="45"/>
      <c r="I16" s="45"/>
      <c r="J16" s="45"/>
      <c r="K16" s="45"/>
    </row>
    <row r="17">
      <c r="A17" s="83">
        <v>1.0</v>
      </c>
      <c r="B17" s="94"/>
      <c r="C17" s="94"/>
      <c r="D17" s="94"/>
      <c r="E17" s="248"/>
      <c r="F17" s="45"/>
      <c r="G17" s="45"/>
      <c r="H17" s="45"/>
      <c r="I17" s="45"/>
      <c r="J17" s="45"/>
      <c r="K17" s="45"/>
    </row>
    <row r="18">
      <c r="A18" s="83" t="s">
        <v>590</v>
      </c>
      <c r="B18" s="94"/>
      <c r="C18" s="94"/>
      <c r="D18" s="94"/>
      <c r="E18" s="248"/>
      <c r="F18" s="45"/>
      <c r="G18" s="45"/>
      <c r="H18" s="45"/>
      <c r="I18" s="45"/>
      <c r="J18" s="45"/>
      <c r="K18" s="45"/>
    </row>
    <row r="19">
      <c r="A19" s="83" t="s">
        <v>591</v>
      </c>
      <c r="B19" s="94"/>
      <c r="C19" s="94"/>
      <c r="D19" s="94"/>
      <c r="E19" s="248"/>
      <c r="F19" s="45"/>
      <c r="G19" s="45"/>
      <c r="H19" s="45"/>
      <c r="I19" s="45"/>
      <c r="J19" s="45"/>
      <c r="K19" s="45"/>
    </row>
    <row r="20" ht="15.75" customHeight="1">
      <c r="A20" s="83" t="s">
        <v>592</v>
      </c>
      <c r="B20" s="94"/>
      <c r="C20" s="94"/>
      <c r="D20" s="94"/>
      <c r="E20" s="248"/>
      <c r="F20" s="45"/>
      <c r="G20" s="45"/>
      <c r="H20" s="45"/>
      <c r="I20" s="45"/>
      <c r="J20" s="45"/>
      <c r="K20" s="45"/>
    </row>
    <row r="21" ht="15.75" customHeight="1">
      <c r="A21" s="273" t="s">
        <v>298</v>
      </c>
      <c r="D21" s="45"/>
      <c r="E21" s="219"/>
      <c r="F21" s="45"/>
      <c r="G21" s="45"/>
      <c r="H21" s="45"/>
      <c r="I21" s="45"/>
      <c r="J21" s="45"/>
      <c r="K21" s="45"/>
    </row>
    <row r="22" ht="15.75" customHeight="1">
      <c r="A22" s="273"/>
      <c r="B22" s="123"/>
      <c r="C22" s="123"/>
      <c r="D22" s="45"/>
      <c r="E22" s="219"/>
      <c r="F22" s="45"/>
      <c r="G22" s="45"/>
      <c r="H22" s="45"/>
      <c r="I22" s="45"/>
      <c r="J22" s="45"/>
      <c r="K22" s="45"/>
    </row>
    <row r="23" ht="15.75" customHeight="1">
      <c r="A23" s="224" t="s">
        <v>593</v>
      </c>
      <c r="B23" s="28"/>
      <c r="C23" s="28"/>
      <c r="D23" s="45"/>
      <c r="E23" s="219"/>
      <c r="F23" s="45"/>
      <c r="G23" s="45"/>
      <c r="H23" s="45"/>
      <c r="I23" s="45"/>
      <c r="J23" s="45"/>
      <c r="K23" s="45"/>
    </row>
    <row r="24" ht="15.75" customHeight="1">
      <c r="A24" s="208" t="s">
        <v>12</v>
      </c>
      <c r="B24" s="211" t="s">
        <v>16</v>
      </c>
      <c r="C24" s="211" t="s">
        <v>20</v>
      </c>
      <c r="D24" s="213" t="s">
        <v>22</v>
      </c>
      <c r="E24" s="235"/>
      <c r="F24" s="45"/>
      <c r="G24" s="45"/>
      <c r="H24" s="45"/>
      <c r="I24" s="45"/>
      <c r="J24" s="45"/>
      <c r="K24" s="45"/>
    </row>
    <row r="25" ht="15.75" customHeight="1">
      <c r="A25" s="83" t="s">
        <v>595</v>
      </c>
      <c r="B25" s="215">
        <v>10.0</v>
      </c>
      <c r="C25" s="217" t="s">
        <v>112</v>
      </c>
      <c r="D25" s="69"/>
      <c r="E25" s="235"/>
      <c r="F25" s="45"/>
      <c r="G25" s="45"/>
      <c r="H25" s="45"/>
      <c r="I25" s="45"/>
      <c r="J25" s="45"/>
      <c r="K25" s="45"/>
    </row>
    <row r="26" ht="15.75" customHeight="1">
      <c r="A26" s="83" t="s">
        <v>597</v>
      </c>
      <c r="B26" s="215">
        <v>500.0</v>
      </c>
      <c r="C26" s="217" t="s">
        <v>112</v>
      </c>
      <c r="D26" s="69"/>
      <c r="E26" s="235"/>
      <c r="F26" s="45"/>
      <c r="G26" s="45"/>
      <c r="H26" s="45"/>
      <c r="I26" s="45"/>
      <c r="J26" s="45"/>
      <c r="K26" s="45"/>
    </row>
    <row r="27" ht="15.75" customHeight="1">
      <c r="A27" s="313"/>
      <c r="B27" s="121"/>
      <c r="C27" s="127"/>
      <c r="D27" s="69"/>
      <c r="E27" s="245"/>
      <c r="F27" s="45"/>
      <c r="G27" s="45"/>
      <c r="H27" s="45"/>
      <c r="I27" s="45"/>
      <c r="J27" s="45"/>
      <c r="K27" s="45"/>
    </row>
    <row r="28" ht="15.75" customHeight="1">
      <c r="A28" s="230" t="s">
        <v>62</v>
      </c>
      <c r="B28" s="232"/>
      <c r="C28" s="234"/>
      <c r="D28" s="87"/>
      <c r="E28" s="231"/>
      <c r="F28" s="45"/>
      <c r="G28" s="45"/>
      <c r="H28" s="45"/>
      <c r="I28" s="45"/>
      <c r="J28" s="45"/>
      <c r="K28" s="45"/>
    </row>
    <row r="29" ht="15.75" customHeight="1">
      <c r="A29" s="230" t="s">
        <v>64</v>
      </c>
      <c r="B29" s="237"/>
      <c r="C29" s="238"/>
      <c r="D29" s="87"/>
      <c r="E29" s="231"/>
      <c r="F29" s="45"/>
      <c r="G29" s="45"/>
      <c r="H29" s="45"/>
      <c r="I29" s="45"/>
      <c r="J29" s="45"/>
      <c r="K29" s="45"/>
    </row>
    <row r="30" ht="15.75" customHeight="1">
      <c r="A30" s="83" t="s">
        <v>599</v>
      </c>
      <c r="B30" s="118"/>
      <c r="C30" s="120"/>
      <c r="D30" s="121"/>
      <c r="E30" s="303"/>
      <c r="F30" s="45"/>
      <c r="G30" s="45"/>
      <c r="H30" s="45"/>
      <c r="I30" s="45"/>
      <c r="J30" s="45"/>
      <c r="K30" s="45"/>
    </row>
    <row r="31" ht="15.75" customHeight="1">
      <c r="A31" s="83" t="s">
        <v>600</v>
      </c>
      <c r="B31" s="118"/>
      <c r="C31" s="120"/>
      <c r="D31" s="121"/>
      <c r="E31" s="303"/>
      <c r="F31" s="45"/>
      <c r="G31" s="45"/>
      <c r="H31" s="45"/>
      <c r="I31" s="45"/>
      <c r="J31" s="45"/>
      <c r="K31" s="45"/>
    </row>
    <row r="32" ht="15.75" customHeight="1">
      <c r="A32" s="83" t="s">
        <v>601</v>
      </c>
      <c r="B32" s="118"/>
      <c r="C32" s="120"/>
      <c r="D32" s="121"/>
      <c r="E32" s="303"/>
      <c r="F32" s="45"/>
      <c r="G32" s="45"/>
      <c r="H32" s="45"/>
      <c r="I32" s="45"/>
      <c r="J32" s="45"/>
      <c r="K32" s="45"/>
    </row>
    <row r="33" ht="15.75" customHeight="1">
      <c r="A33" s="83" t="s">
        <v>602</v>
      </c>
      <c r="B33" s="118"/>
      <c r="C33" s="120"/>
      <c r="D33" s="121"/>
      <c r="E33" s="303"/>
      <c r="F33" s="45"/>
      <c r="G33" s="45"/>
      <c r="H33" s="45"/>
      <c r="I33" s="45"/>
      <c r="J33" s="45"/>
      <c r="K33" s="45"/>
    </row>
    <row r="34" ht="15.75" customHeight="1">
      <c r="A34" s="83" t="s">
        <v>603</v>
      </c>
      <c r="B34" s="118"/>
      <c r="C34" s="120"/>
      <c r="D34" s="121"/>
      <c r="E34" s="303"/>
      <c r="F34" s="45"/>
      <c r="G34" s="45"/>
      <c r="H34" s="45"/>
      <c r="I34" s="45"/>
      <c r="J34" s="45"/>
      <c r="K34" s="45"/>
    </row>
    <row r="35" ht="15.75" customHeight="1">
      <c r="A35" s="83" t="s">
        <v>604</v>
      </c>
      <c r="B35" s="118"/>
      <c r="C35" s="120"/>
      <c r="D35" s="121"/>
      <c r="E35" s="303"/>
      <c r="F35" s="45"/>
      <c r="G35" s="45"/>
      <c r="H35" s="45"/>
      <c r="I35" s="45"/>
      <c r="J35" s="45"/>
      <c r="K35" s="45"/>
    </row>
    <row r="36" ht="15.75" customHeight="1">
      <c r="A36" s="225"/>
      <c r="B36" s="118"/>
      <c r="C36" s="120"/>
      <c r="D36" s="121"/>
      <c r="E36" s="303"/>
      <c r="F36" s="45"/>
      <c r="G36" s="45"/>
      <c r="H36" s="45"/>
      <c r="I36" s="45"/>
      <c r="J36" s="45"/>
      <c r="K36" s="45"/>
    </row>
    <row r="37" ht="15.75" customHeight="1">
      <c r="A37" s="224" t="s">
        <v>605</v>
      </c>
      <c r="B37" s="28"/>
      <c r="C37" s="28"/>
      <c r="D37" s="45"/>
      <c r="E37" s="219"/>
      <c r="F37" s="45"/>
      <c r="G37" s="45"/>
      <c r="H37" s="45"/>
      <c r="I37" s="45"/>
      <c r="J37" s="45"/>
      <c r="K37" s="45"/>
    </row>
    <row r="38" ht="15.75" customHeight="1">
      <c r="A38" s="208" t="s">
        <v>12</v>
      </c>
      <c r="B38" s="211" t="s">
        <v>16</v>
      </c>
      <c r="C38" s="211" t="s">
        <v>20</v>
      </c>
      <c r="D38" s="213" t="s">
        <v>22</v>
      </c>
      <c r="E38" s="235"/>
    </row>
    <row r="39" ht="15.75" customHeight="1">
      <c r="A39" s="326" t="s">
        <v>125</v>
      </c>
      <c r="B39" s="320">
        <v>100.0</v>
      </c>
      <c r="C39" s="321" t="s">
        <v>112</v>
      </c>
      <c r="D39" s="69"/>
      <c r="E39" s="235"/>
    </row>
    <row r="40" ht="15.75" customHeight="1">
      <c r="A40" s="326" t="s">
        <v>109</v>
      </c>
      <c r="B40" s="320">
        <v>70.0</v>
      </c>
      <c r="C40" s="321" t="s">
        <v>25</v>
      </c>
      <c r="D40" s="69"/>
      <c r="E40" s="245"/>
    </row>
    <row r="41" ht="15.75" customHeight="1">
      <c r="A41" s="326" t="s">
        <v>606</v>
      </c>
      <c r="B41" s="320">
        <v>12.0</v>
      </c>
      <c r="C41" s="321" t="s">
        <v>112</v>
      </c>
      <c r="D41" s="69"/>
      <c r="E41" s="245"/>
    </row>
    <row r="42" ht="15.75" customHeight="1">
      <c r="A42" s="326" t="s">
        <v>607</v>
      </c>
      <c r="B42" s="320">
        <v>30.0</v>
      </c>
      <c r="C42" s="321" t="s">
        <v>112</v>
      </c>
      <c r="D42" s="69"/>
      <c r="E42" s="245"/>
    </row>
    <row r="43" ht="15.75" customHeight="1">
      <c r="A43" s="326" t="s">
        <v>608</v>
      </c>
      <c r="B43" s="320">
        <v>20.0</v>
      </c>
      <c r="C43" s="321" t="s">
        <v>112</v>
      </c>
      <c r="D43" s="69"/>
      <c r="E43" s="245"/>
    </row>
    <row r="44" ht="15.75" customHeight="1">
      <c r="A44" s="326" t="s">
        <v>609</v>
      </c>
      <c r="B44" s="320">
        <v>15.0</v>
      </c>
      <c r="C44" s="321" t="s">
        <v>25</v>
      </c>
      <c r="D44" s="69"/>
      <c r="E44" s="245"/>
    </row>
    <row r="45" ht="15.75" customHeight="1">
      <c r="A45" s="326" t="s">
        <v>610</v>
      </c>
      <c r="B45" s="320">
        <v>3.0</v>
      </c>
      <c r="C45" s="321" t="s">
        <v>93</v>
      </c>
      <c r="D45" s="69"/>
      <c r="E45" s="245"/>
    </row>
    <row r="46" ht="15.75" customHeight="1">
      <c r="A46" s="326" t="s">
        <v>436</v>
      </c>
      <c r="B46" s="320">
        <v>1.0</v>
      </c>
      <c r="C46" s="321" t="s">
        <v>112</v>
      </c>
      <c r="D46" s="69"/>
      <c r="E46" s="245"/>
    </row>
    <row r="47" ht="15.75" customHeight="1">
      <c r="A47" s="326" t="s">
        <v>611</v>
      </c>
      <c r="B47" s="320">
        <v>15.0</v>
      </c>
      <c r="C47" s="217" t="s">
        <v>112</v>
      </c>
      <c r="D47" s="69"/>
      <c r="E47" s="245"/>
    </row>
    <row r="48" ht="15.75" customHeight="1">
      <c r="A48" s="313"/>
      <c r="B48" s="121"/>
      <c r="C48" s="127"/>
      <c r="D48" s="69"/>
      <c r="E48" s="245"/>
    </row>
    <row r="49" ht="15.75" customHeight="1">
      <c r="A49" s="230" t="s">
        <v>62</v>
      </c>
      <c r="B49" s="232"/>
      <c r="C49" s="234"/>
      <c r="D49" s="87"/>
      <c r="E49" s="231"/>
    </row>
    <row r="50" ht="15.75" customHeight="1">
      <c r="A50" s="230" t="s">
        <v>64</v>
      </c>
      <c r="B50" s="237"/>
      <c r="C50" s="238"/>
      <c r="D50" s="87"/>
      <c r="E50" s="231"/>
    </row>
    <row r="51" ht="15.75" customHeight="1">
      <c r="A51" s="83" t="s">
        <v>612</v>
      </c>
      <c r="B51" s="118"/>
      <c r="C51" s="120"/>
      <c r="D51" s="121"/>
      <c r="E51" s="303"/>
    </row>
    <row r="52" ht="15.75" customHeight="1">
      <c r="A52" s="83" t="s">
        <v>613</v>
      </c>
      <c r="B52" s="118"/>
      <c r="C52" s="120"/>
      <c r="D52" s="121"/>
      <c r="E52" s="303"/>
    </row>
    <row r="53" ht="15.75" customHeight="1">
      <c r="A53" s="83" t="s">
        <v>614</v>
      </c>
      <c r="B53" s="118"/>
      <c r="C53" s="120"/>
      <c r="D53" s="121"/>
      <c r="E53" s="303"/>
    </row>
    <row r="54" ht="15.75" customHeight="1">
      <c r="A54" s="83" t="s">
        <v>615</v>
      </c>
      <c r="B54" s="118"/>
      <c r="C54" s="120"/>
      <c r="D54" s="121"/>
      <c r="E54" s="303"/>
    </row>
    <row r="55" ht="15.75" customHeight="1">
      <c r="A55" s="83" t="s">
        <v>616</v>
      </c>
      <c r="B55" s="118"/>
      <c r="C55" s="120"/>
      <c r="D55" s="121"/>
      <c r="E55" s="303"/>
    </row>
    <row r="56" ht="15.75" customHeight="1">
      <c r="A56" s="83" t="s">
        <v>617</v>
      </c>
      <c r="B56" s="118"/>
      <c r="C56" s="120"/>
      <c r="D56" s="121"/>
      <c r="E56" s="303"/>
    </row>
    <row r="57" ht="15.75" customHeight="1">
      <c r="A57" s="83" t="s">
        <v>618</v>
      </c>
      <c r="B57" s="118"/>
      <c r="C57" s="120"/>
      <c r="D57" s="121"/>
      <c r="E57" s="303"/>
    </row>
    <row r="58" ht="15.75" customHeight="1">
      <c r="A58" s="83" t="s">
        <v>619</v>
      </c>
      <c r="B58" s="118"/>
      <c r="C58" s="120"/>
      <c r="D58" s="121"/>
      <c r="E58" s="303"/>
    </row>
    <row r="59" ht="15.75" customHeight="1">
      <c r="A59" s="83" t="s">
        <v>620</v>
      </c>
      <c r="B59" s="118"/>
      <c r="C59" s="120"/>
      <c r="D59" s="121"/>
      <c r="E59" s="303"/>
    </row>
    <row r="60" ht="15.75" customHeight="1">
      <c r="A60" s="83" t="s">
        <v>621</v>
      </c>
      <c r="B60" s="118"/>
      <c r="C60" s="120"/>
      <c r="D60" s="121"/>
      <c r="E60" s="303"/>
    </row>
    <row r="61" ht="15.75" customHeight="1">
      <c r="A61" s="224"/>
      <c r="B61" s="28"/>
      <c r="C61" s="28"/>
      <c r="D61" s="45"/>
      <c r="E61" s="219"/>
    </row>
    <row r="62" ht="15.75" customHeight="1">
      <c r="A62" s="224"/>
      <c r="B62" s="28"/>
      <c r="C62" s="28"/>
      <c r="D62" s="45"/>
      <c r="E62" s="219"/>
    </row>
    <row r="63" ht="15.75" customHeight="1">
      <c r="A63" s="208" t="s">
        <v>12</v>
      </c>
      <c r="B63" s="211" t="s">
        <v>16</v>
      </c>
      <c r="C63" s="211" t="s">
        <v>20</v>
      </c>
      <c r="D63" s="213" t="s">
        <v>22</v>
      </c>
      <c r="E63" s="235"/>
    </row>
    <row r="64" ht="15.75" customHeight="1">
      <c r="A64" s="83"/>
      <c r="B64" s="320">
        <v>150.0</v>
      </c>
      <c r="C64" s="321" t="s">
        <v>25</v>
      </c>
      <c r="D64" s="69"/>
      <c r="E64" s="235"/>
    </row>
    <row r="65" ht="15.75" customHeight="1">
      <c r="A65" s="83"/>
      <c r="B65" s="320">
        <v>2.0</v>
      </c>
      <c r="C65" s="321" t="s">
        <v>112</v>
      </c>
      <c r="D65" s="69"/>
      <c r="E65" s="245"/>
    </row>
    <row r="66" ht="15.75" customHeight="1">
      <c r="A66" s="313"/>
      <c r="B66" s="121"/>
      <c r="C66" s="127"/>
      <c r="D66" s="69"/>
      <c r="E66" s="245"/>
    </row>
    <row r="67" ht="15.75" customHeight="1">
      <c r="A67" s="230" t="s">
        <v>62</v>
      </c>
      <c r="B67" s="232"/>
      <c r="C67" s="234"/>
      <c r="D67" s="87"/>
      <c r="E67" s="231"/>
    </row>
    <row r="68" ht="15.75" customHeight="1">
      <c r="A68" s="230" t="s">
        <v>64</v>
      </c>
      <c r="B68" s="237"/>
      <c r="C68" s="238"/>
      <c r="D68" s="87"/>
      <c r="E68" s="231"/>
    </row>
    <row r="69" ht="15.75" customHeight="1">
      <c r="A69" s="83"/>
      <c r="B69" s="118"/>
      <c r="C69" s="120"/>
      <c r="D69" s="121"/>
      <c r="E69" s="303"/>
    </row>
    <row r="70" ht="15.75" customHeight="1">
      <c r="A70" s="83"/>
      <c r="B70" s="118"/>
      <c r="C70" s="120"/>
      <c r="D70" s="121"/>
      <c r="E70" s="303"/>
    </row>
    <row r="71" ht="15.75" customHeight="1">
      <c r="A71" s="83"/>
      <c r="B71" s="118"/>
      <c r="C71" s="120"/>
      <c r="D71" s="121"/>
      <c r="E71" s="303"/>
    </row>
    <row r="72" ht="15.75" customHeight="1">
      <c r="A72" s="322"/>
      <c r="B72" s="310"/>
      <c r="C72" s="310"/>
      <c r="D72" s="310"/>
      <c r="E72" s="31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5">
    <mergeCell ref="A21:C21"/>
    <mergeCell ref="D24:E24"/>
    <mergeCell ref="D25:E25"/>
    <mergeCell ref="D26:E26"/>
    <mergeCell ref="D38:E38"/>
    <mergeCell ref="D39:E39"/>
    <mergeCell ref="D63:E63"/>
    <mergeCell ref="D64:E64"/>
    <mergeCell ref="A3:D3"/>
    <mergeCell ref="A5:C5"/>
    <mergeCell ref="D8:E8"/>
    <mergeCell ref="D9:E9"/>
    <mergeCell ref="D10:E10"/>
    <mergeCell ref="D11:E11"/>
    <mergeCell ref="D13:E13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323" t="s">
        <v>594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18" t="s">
        <v>309</v>
      </c>
      <c r="D6" s="21"/>
      <c r="E6" s="21"/>
      <c r="F6" s="25"/>
      <c r="G6" s="25"/>
      <c r="H6" s="25"/>
      <c r="I6" s="25"/>
      <c r="J6" s="25"/>
      <c r="K6" s="25"/>
    </row>
    <row r="7">
      <c r="A7" s="18" t="s">
        <v>598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18" t="s">
        <v>183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63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61"/>
      <c r="F13" s="45"/>
      <c r="G13" s="45"/>
      <c r="H13" s="45"/>
      <c r="I13" s="45"/>
      <c r="J13" s="45"/>
      <c r="K13" s="45"/>
    </row>
    <row r="14">
      <c r="A14" s="63"/>
      <c r="B14" s="64"/>
      <c r="C14" s="53"/>
      <c r="D14" s="55"/>
      <c r="E14" s="47"/>
      <c r="F14" s="45"/>
      <c r="G14" s="45"/>
      <c r="H14" s="45"/>
      <c r="I14" s="45"/>
      <c r="J14" s="45"/>
      <c r="K14" s="45"/>
    </row>
    <row r="15">
      <c r="A15" s="63"/>
      <c r="B15" s="64"/>
      <c r="C15" s="53"/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30"/>
      <c r="B18" s="130"/>
      <c r="C18" s="130"/>
      <c r="D18" s="130"/>
      <c r="E18" s="130"/>
      <c r="F18" s="45"/>
      <c r="G18" s="45"/>
      <c r="H18" s="45"/>
      <c r="I18" s="45"/>
      <c r="J18" s="45"/>
      <c r="K18" s="45"/>
    </row>
    <row r="19">
      <c r="A19" s="130"/>
      <c r="B19" s="130"/>
      <c r="C19" s="130"/>
      <c r="D19" s="130"/>
      <c r="E19" s="130"/>
      <c r="F19" s="45"/>
      <c r="G19" s="45"/>
      <c r="H19" s="45"/>
      <c r="I19" s="45"/>
      <c r="J19" s="45"/>
      <c r="K19" s="45"/>
    </row>
    <row r="20">
      <c r="A20" s="72"/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130"/>
      <c r="B21" s="130"/>
      <c r="C21" s="130"/>
      <c r="D21" s="130"/>
      <c r="E21" s="130"/>
      <c r="F21" s="45"/>
      <c r="G21" s="45"/>
      <c r="H21" s="45"/>
      <c r="I21" s="45"/>
      <c r="J21" s="45"/>
      <c r="K21" s="45"/>
    </row>
    <row r="22" ht="15.75" customHeight="1">
      <c r="A22" s="28"/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28"/>
      <c r="B23" s="28"/>
      <c r="C23" s="28"/>
      <c r="D23" s="45"/>
      <c r="E23" s="45"/>
      <c r="F23" s="45"/>
      <c r="G23" s="45"/>
      <c r="H23" s="45"/>
      <c r="I23" s="45"/>
      <c r="J23" s="45"/>
      <c r="K23" s="45"/>
    </row>
    <row r="24" ht="15.75" customHeight="1">
      <c r="A24" s="32" t="s">
        <v>12</v>
      </c>
      <c r="B24" s="34" t="s">
        <v>16</v>
      </c>
      <c r="C24" s="34" t="s">
        <v>20</v>
      </c>
      <c r="D24" s="41" t="s">
        <v>22</v>
      </c>
      <c r="E24" s="38"/>
      <c r="F24" s="45"/>
      <c r="G24" s="45"/>
      <c r="H24" s="45"/>
      <c r="I24" s="45"/>
      <c r="J24" s="45"/>
      <c r="K24" s="45"/>
    </row>
    <row r="25" ht="15.75" customHeight="1">
      <c r="A25" s="63"/>
      <c r="B25" s="97"/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130"/>
      <c r="B26" s="5"/>
      <c r="C26" s="5"/>
    </row>
    <row r="27" ht="15.75" customHeight="1">
      <c r="A27" s="327"/>
      <c r="B27" s="97"/>
      <c r="C27" s="99"/>
      <c r="D27" s="55"/>
      <c r="E27" s="47"/>
      <c r="F27" s="45"/>
      <c r="G27" s="45"/>
      <c r="H27" s="45"/>
      <c r="I27" s="45"/>
      <c r="J27" s="45"/>
      <c r="K27" s="45"/>
    </row>
    <row r="28" ht="15.75" customHeight="1">
      <c r="A28" s="66" t="s">
        <v>62</v>
      </c>
      <c r="B28" s="111"/>
      <c r="C28" s="113"/>
      <c r="D28" s="71"/>
      <c r="E28" s="71"/>
      <c r="F28" s="45"/>
      <c r="G28" s="45"/>
      <c r="H28" s="45"/>
      <c r="I28" s="45"/>
      <c r="J28" s="45"/>
      <c r="K28" s="45"/>
    </row>
    <row r="29" ht="15.75" customHeight="1">
      <c r="A29" s="328" t="s">
        <v>64</v>
      </c>
      <c r="B29" s="329"/>
      <c r="C29" s="330"/>
      <c r="D29" s="331"/>
      <c r="E29" s="331"/>
      <c r="F29" s="45"/>
      <c r="G29" s="45"/>
      <c r="H29" s="45"/>
      <c r="I29" s="45"/>
      <c r="J29" s="45"/>
      <c r="K29" s="45"/>
    </row>
    <row r="30" ht="15.75" customHeight="1">
      <c r="A30" s="332"/>
      <c r="B30" s="333"/>
      <c r="C30" s="334"/>
      <c r="D30" s="335"/>
      <c r="E30" s="335"/>
      <c r="F30" s="45"/>
      <c r="G30" s="45"/>
      <c r="H30" s="45"/>
      <c r="I30" s="45"/>
      <c r="J30" s="45"/>
      <c r="K30" s="45"/>
    </row>
    <row r="31" ht="15.75" customHeight="1">
      <c r="A31" s="336"/>
      <c r="B31" s="333"/>
      <c r="C31" s="334"/>
      <c r="D31" s="335"/>
      <c r="E31" s="335"/>
      <c r="F31" s="45"/>
      <c r="G31" s="45"/>
      <c r="H31" s="45"/>
      <c r="I31" s="45"/>
      <c r="J31" s="45"/>
      <c r="K31" s="45"/>
    </row>
    <row r="32" ht="15.75" customHeight="1">
      <c r="A32" s="336"/>
      <c r="B32" s="333"/>
      <c r="C32" s="334"/>
      <c r="D32" s="335"/>
      <c r="E32" s="335"/>
      <c r="F32" s="45"/>
      <c r="G32" s="45"/>
      <c r="H32" s="45"/>
      <c r="I32" s="45"/>
      <c r="J32" s="45"/>
      <c r="K32" s="45"/>
    </row>
    <row r="33" ht="15.75" customHeight="1">
      <c r="A33" s="336"/>
      <c r="B33" s="333"/>
      <c r="C33" s="334"/>
      <c r="D33" s="335"/>
      <c r="E33" s="335"/>
      <c r="F33" s="45"/>
      <c r="G33" s="45"/>
      <c r="H33" s="45"/>
      <c r="I33" s="45"/>
      <c r="J33" s="45"/>
      <c r="K33" s="45"/>
    </row>
    <row r="34" ht="15.75" customHeight="1">
      <c r="A34" s="337"/>
      <c r="B34" s="338"/>
      <c r="C34" s="339"/>
      <c r="D34" s="335"/>
      <c r="E34" s="335"/>
      <c r="F34" s="45"/>
      <c r="G34" s="45"/>
      <c r="H34" s="45"/>
      <c r="I34" s="45"/>
      <c r="J34" s="45"/>
      <c r="K34" s="45"/>
    </row>
    <row r="35" ht="15.75" customHeight="1">
      <c r="A35" s="332"/>
      <c r="B35" s="340"/>
      <c r="C35" s="341"/>
      <c r="D35" s="342"/>
      <c r="E35" s="339"/>
    </row>
    <row r="36" ht="15.75" customHeight="1">
      <c r="A36" s="332"/>
      <c r="B36" s="340"/>
      <c r="C36" s="341"/>
      <c r="D36" s="342"/>
      <c r="E36" s="339"/>
    </row>
    <row r="37" ht="15.75" customHeight="1">
      <c r="A37" s="332"/>
      <c r="B37" s="340"/>
      <c r="C37" s="341"/>
      <c r="D37" s="342"/>
      <c r="E37" s="339"/>
    </row>
    <row r="38" ht="15.75" customHeight="1">
      <c r="A38" s="332"/>
      <c r="B38" s="340"/>
      <c r="C38" s="341"/>
      <c r="D38" s="342"/>
      <c r="E38" s="339"/>
    </row>
    <row r="39" ht="15.75" customHeight="1">
      <c r="A39" s="332"/>
      <c r="B39" s="340"/>
      <c r="C39" s="341"/>
      <c r="D39" s="342"/>
      <c r="E39" s="339"/>
    </row>
    <row r="40" ht="15.75" customHeight="1">
      <c r="A40" s="332"/>
      <c r="B40" s="340"/>
      <c r="C40" s="341"/>
      <c r="D40" s="342"/>
      <c r="E40" s="339"/>
    </row>
    <row r="41" ht="15.75" customHeight="1">
      <c r="A41" s="332"/>
      <c r="B41" s="340"/>
      <c r="C41" s="341"/>
      <c r="D41" s="342"/>
      <c r="E41" s="339"/>
    </row>
    <row r="42" ht="15.75" customHeight="1">
      <c r="A42" s="332"/>
      <c r="B42" s="343"/>
      <c r="C42" s="344"/>
      <c r="D42" s="340"/>
      <c r="E42" s="345"/>
    </row>
    <row r="43" ht="15.75" customHeight="1">
      <c r="A43" s="346"/>
      <c r="B43" s="338"/>
      <c r="C43" s="338"/>
      <c r="D43" s="338"/>
      <c r="E43" s="339"/>
    </row>
    <row r="44" ht="15.75" customHeight="1">
      <c r="A44" s="164"/>
      <c r="B44" s="5"/>
      <c r="C44" s="130"/>
      <c r="D44" s="130"/>
      <c r="E44" s="165"/>
    </row>
    <row r="45" ht="15.75" customHeight="1">
      <c r="A45" s="164"/>
      <c r="B45" s="5"/>
      <c r="C45" s="130"/>
      <c r="D45" s="130"/>
      <c r="E45" s="165"/>
    </row>
    <row r="46" ht="15.75" customHeight="1">
      <c r="A46" s="164"/>
      <c r="B46" s="5"/>
      <c r="C46" s="130"/>
      <c r="D46" s="130"/>
      <c r="E46" s="165"/>
    </row>
    <row r="47" ht="15.75" customHeight="1">
      <c r="A47" s="164"/>
      <c r="B47" s="5"/>
      <c r="C47" s="130"/>
      <c r="D47" s="130"/>
      <c r="E47" s="165"/>
    </row>
    <row r="48" ht="15.75" customHeight="1">
      <c r="A48" s="164"/>
      <c r="B48" s="5"/>
      <c r="C48" s="130"/>
      <c r="D48" s="130"/>
      <c r="E48" s="165"/>
    </row>
    <row r="49" ht="15.75" customHeight="1">
      <c r="A49" s="164"/>
      <c r="B49" s="5"/>
      <c r="C49" s="130"/>
      <c r="D49" s="130"/>
      <c r="E49" s="165"/>
    </row>
    <row r="50" ht="15.75" customHeight="1">
      <c r="A50" s="164"/>
      <c r="B50" s="5"/>
      <c r="C50" s="130"/>
      <c r="D50" s="130"/>
      <c r="E50" s="165"/>
    </row>
    <row r="51" ht="15.75" customHeight="1">
      <c r="A51" s="166"/>
      <c r="B51" s="167"/>
      <c r="C51" s="168"/>
      <c r="D51" s="168"/>
      <c r="E51" s="169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3:D3"/>
    <mergeCell ref="A5:E5"/>
    <mergeCell ref="A6:C6"/>
    <mergeCell ref="D9:E9"/>
    <mergeCell ref="D10:E10"/>
    <mergeCell ref="D11:E11"/>
    <mergeCell ref="D12:E12"/>
    <mergeCell ref="D37:E37"/>
    <mergeCell ref="D38:E38"/>
    <mergeCell ref="D39:E39"/>
    <mergeCell ref="D40:E40"/>
    <mergeCell ref="D41:E41"/>
    <mergeCell ref="A43:E43"/>
    <mergeCell ref="D14:E14"/>
    <mergeCell ref="A20:E20"/>
    <mergeCell ref="D24:E24"/>
    <mergeCell ref="D27:E27"/>
    <mergeCell ref="A34:C34"/>
    <mergeCell ref="D35:E35"/>
    <mergeCell ref="D36:E3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323" t="s">
        <v>121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18" t="s">
        <v>624</v>
      </c>
      <c r="D6" s="21"/>
      <c r="E6" s="21"/>
      <c r="F6" s="25"/>
      <c r="G6" s="25"/>
      <c r="H6" s="25"/>
      <c r="I6" s="25"/>
      <c r="J6" s="25"/>
      <c r="K6" s="25"/>
    </row>
    <row r="7">
      <c r="A7" s="18" t="s">
        <v>625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18" t="s">
        <v>627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63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61"/>
      <c r="F13" s="45"/>
      <c r="G13" s="45"/>
      <c r="H13" s="45"/>
      <c r="I13" s="45"/>
      <c r="J13" s="45"/>
      <c r="K13" s="45"/>
    </row>
    <row r="14">
      <c r="A14" s="63"/>
      <c r="B14" s="64"/>
      <c r="C14" s="53"/>
      <c r="D14" s="55"/>
      <c r="E14" s="47"/>
      <c r="F14" s="45"/>
      <c r="G14" s="45"/>
      <c r="H14" s="45"/>
      <c r="I14" s="45"/>
      <c r="J14" s="45"/>
      <c r="K14" s="45"/>
    </row>
    <row r="15">
      <c r="A15" s="63"/>
      <c r="B15" s="64"/>
      <c r="C15" s="53"/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72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72"/>
      <c r="B19" s="72"/>
      <c r="C19" s="72"/>
      <c r="D19" s="72"/>
      <c r="E19" s="72"/>
      <c r="F19" s="45"/>
      <c r="G19" s="45"/>
      <c r="H19" s="45"/>
      <c r="I19" s="45"/>
      <c r="J19" s="45"/>
      <c r="K19" s="45"/>
    </row>
    <row r="20">
      <c r="A20" s="72"/>
      <c r="B20" s="72"/>
      <c r="C20" s="72"/>
      <c r="D20" s="72"/>
      <c r="E20" s="72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638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/>
      <c r="B24" s="97"/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/>
      <c r="B25" s="97"/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/>
      <c r="B26" s="97"/>
      <c r="C26" s="99"/>
      <c r="D26" s="55"/>
      <c r="E26" s="55"/>
      <c r="F26" s="45"/>
      <c r="G26" s="45"/>
      <c r="H26" s="45"/>
      <c r="I26" s="45"/>
      <c r="J26" s="45"/>
      <c r="K26" s="45"/>
    </row>
    <row r="27" ht="15.75" customHeight="1">
      <c r="A27" s="63"/>
      <c r="B27" s="97"/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63"/>
      <c r="B28" s="97"/>
      <c r="C28" s="99"/>
      <c r="D28" s="55"/>
      <c r="E28" s="55"/>
      <c r="F28" s="45"/>
      <c r="G28" s="45"/>
      <c r="H28" s="45"/>
      <c r="I28" s="45"/>
      <c r="J28" s="45"/>
      <c r="K28" s="45"/>
    </row>
    <row r="29" ht="15.75" customHeight="1">
      <c r="A29" s="63"/>
      <c r="B29" s="97"/>
      <c r="C29" s="99"/>
      <c r="D29" s="55"/>
      <c r="E29" s="55"/>
      <c r="F29" s="45"/>
      <c r="G29" s="45"/>
      <c r="H29" s="45"/>
      <c r="I29" s="45"/>
      <c r="J29" s="45"/>
      <c r="K29" s="45"/>
    </row>
    <row r="30" ht="15.75" customHeight="1">
      <c r="A30" s="63"/>
      <c r="B30" s="97"/>
      <c r="C30" s="99"/>
      <c r="D30" s="55"/>
      <c r="E30" s="55"/>
      <c r="F30" s="45"/>
      <c r="G30" s="45"/>
      <c r="H30" s="45"/>
      <c r="I30" s="45"/>
      <c r="J30" s="45"/>
      <c r="K30" s="45"/>
    </row>
    <row r="31" ht="15.75" customHeight="1">
      <c r="A31" s="327"/>
      <c r="B31" s="97"/>
      <c r="C31" s="99"/>
      <c r="D31" s="55"/>
      <c r="E31" s="55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66" t="s">
        <v>62</v>
      </c>
      <c r="B33" s="111"/>
      <c r="C33" s="113"/>
      <c r="D33" s="71"/>
      <c r="E33" s="71"/>
      <c r="F33" s="45"/>
      <c r="G33" s="45"/>
      <c r="H33" s="45"/>
      <c r="I33" s="45"/>
      <c r="J33" s="45"/>
      <c r="K33" s="45"/>
    </row>
    <row r="34" ht="15.75" customHeight="1">
      <c r="A34" s="66" t="s">
        <v>64</v>
      </c>
      <c r="B34" s="114"/>
      <c r="C34" s="115"/>
      <c r="D34" s="116"/>
      <c r="E34" s="116"/>
      <c r="F34" s="45"/>
      <c r="G34" s="45"/>
      <c r="H34" s="45"/>
      <c r="I34" s="45"/>
      <c r="J34" s="45"/>
      <c r="K34" s="45"/>
    </row>
    <row r="35" ht="15.75" customHeight="1">
      <c r="A35" s="79"/>
      <c r="B35" s="118"/>
      <c r="C35" s="120"/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79"/>
      <c r="B36" s="118"/>
      <c r="C36" s="120"/>
      <c r="D36" s="121"/>
      <c r="E36" s="121"/>
      <c r="F36" s="45"/>
      <c r="G36" s="45"/>
      <c r="H36" s="45"/>
      <c r="I36" s="45"/>
      <c r="J36" s="45"/>
      <c r="K36" s="45"/>
    </row>
    <row r="37" ht="15.75" customHeight="1">
      <c r="A37" s="79"/>
      <c r="B37" s="118"/>
      <c r="C37" s="120"/>
      <c r="D37" s="121"/>
      <c r="E37" s="121"/>
      <c r="F37" s="45"/>
      <c r="G37" s="45"/>
      <c r="H37" s="45"/>
      <c r="I37" s="45"/>
      <c r="J37" s="45"/>
      <c r="K37" s="45"/>
    </row>
    <row r="38" ht="15.75" customHeight="1">
      <c r="A38" s="85"/>
      <c r="B38" s="118"/>
      <c r="C38" s="120"/>
      <c r="D38" s="121"/>
      <c r="E38" s="121"/>
      <c r="F38" s="45"/>
      <c r="G38" s="45"/>
      <c r="H38" s="45"/>
      <c r="I38" s="45"/>
      <c r="J38" s="45"/>
      <c r="K38" s="45"/>
    </row>
    <row r="39" ht="15.75" customHeight="1">
      <c r="A39" s="28"/>
      <c r="D39" s="121"/>
      <c r="E39" s="121"/>
      <c r="F39" s="45"/>
      <c r="G39" s="45"/>
      <c r="H39" s="45"/>
      <c r="I39" s="45"/>
      <c r="J39" s="45"/>
      <c r="K39" s="45"/>
    </row>
    <row r="40" ht="15.75" customHeight="1">
      <c r="A40" s="32" t="s">
        <v>12</v>
      </c>
      <c r="B40" s="34" t="s">
        <v>16</v>
      </c>
      <c r="C40" s="34" t="s">
        <v>20</v>
      </c>
      <c r="D40" s="41" t="s">
        <v>22</v>
      </c>
      <c r="E40" s="38"/>
      <c r="F40" s="45"/>
      <c r="G40" s="45"/>
      <c r="H40" s="45"/>
      <c r="I40" s="45"/>
      <c r="J40" s="45"/>
      <c r="K40" s="45"/>
    </row>
    <row r="41" ht="15.75" customHeight="1">
      <c r="A41" s="63"/>
      <c r="B41" s="97"/>
      <c r="C41" s="99"/>
      <c r="D41" s="55"/>
      <c r="E41" s="47"/>
      <c r="F41" s="45"/>
      <c r="G41" s="45"/>
      <c r="H41" s="45"/>
      <c r="I41" s="45"/>
      <c r="J41" s="45"/>
      <c r="K41" s="45"/>
    </row>
    <row r="42" ht="15.75" customHeight="1">
      <c r="A42" s="327"/>
      <c r="B42" s="97"/>
      <c r="C42" s="99"/>
      <c r="D42" s="55"/>
      <c r="E42" s="47"/>
      <c r="F42" s="45"/>
      <c r="G42" s="45"/>
      <c r="H42" s="45"/>
      <c r="I42" s="45"/>
      <c r="J42" s="45"/>
      <c r="K42" s="45"/>
    </row>
    <row r="43" ht="15.75" customHeight="1">
      <c r="A43" s="66" t="s">
        <v>62</v>
      </c>
      <c r="B43" s="111"/>
      <c r="C43" s="113"/>
      <c r="D43" s="71"/>
      <c r="E43" s="71"/>
      <c r="F43" s="45"/>
      <c r="G43" s="45"/>
      <c r="H43" s="45"/>
      <c r="I43" s="45"/>
      <c r="J43" s="45"/>
      <c r="K43" s="45"/>
    </row>
    <row r="44" ht="15.75" customHeight="1">
      <c r="A44" s="66" t="s">
        <v>64</v>
      </c>
      <c r="B44" s="114"/>
      <c r="C44" s="115"/>
      <c r="D44" s="116"/>
      <c r="E44" s="116"/>
      <c r="F44" s="45"/>
      <c r="G44" s="45"/>
      <c r="H44" s="45"/>
      <c r="I44" s="45"/>
      <c r="J44" s="45"/>
      <c r="K44" s="45"/>
    </row>
    <row r="45" ht="15.75" customHeight="1">
      <c r="A45" s="72"/>
      <c r="B45" s="72"/>
      <c r="C45" s="72"/>
      <c r="D45" s="72"/>
      <c r="E45" s="72"/>
      <c r="F45" s="45"/>
      <c r="G45" s="45"/>
      <c r="H45" s="45"/>
      <c r="I45" s="45"/>
      <c r="J45" s="45"/>
      <c r="K45" s="45"/>
    </row>
    <row r="46" ht="15.75" customHeight="1">
      <c r="A46" s="140"/>
      <c r="B46" s="141"/>
      <c r="C46" s="141"/>
      <c r="D46" s="141"/>
      <c r="E46" s="141"/>
      <c r="F46" s="45"/>
      <c r="G46" s="45"/>
      <c r="H46" s="45"/>
      <c r="I46" s="45"/>
      <c r="J46" s="45"/>
      <c r="K46" s="45"/>
    </row>
    <row r="47" ht="15.75" customHeight="1">
      <c r="A47" s="72"/>
      <c r="B47" s="72"/>
      <c r="C47" s="72"/>
      <c r="D47" s="72"/>
      <c r="E47" s="72"/>
      <c r="F47" s="45"/>
      <c r="G47" s="45"/>
      <c r="H47" s="45"/>
      <c r="I47" s="45"/>
      <c r="J47" s="45"/>
      <c r="K47" s="45"/>
    </row>
    <row r="48" ht="18.0" customHeight="1">
      <c r="A48" s="129"/>
      <c r="D48" s="130"/>
      <c r="E48" s="130"/>
      <c r="F48" s="130"/>
      <c r="G48" s="130"/>
      <c r="H48" s="130"/>
      <c r="I48" s="130"/>
      <c r="J48" s="130"/>
      <c r="K48" s="130"/>
    </row>
    <row r="49" ht="18.0" customHeight="1">
      <c r="A49" s="129"/>
      <c r="B49" s="129"/>
      <c r="C49" s="129"/>
      <c r="D49" s="130"/>
      <c r="E49" s="130"/>
      <c r="F49" s="130"/>
      <c r="G49" s="130"/>
      <c r="H49" s="130"/>
      <c r="I49" s="130"/>
      <c r="J49" s="130"/>
      <c r="K49" s="130"/>
    </row>
    <row r="50" ht="18.0" customHeight="1">
      <c r="A50" s="164"/>
      <c r="B50" s="5"/>
      <c r="C50" s="130"/>
      <c r="D50" s="130"/>
      <c r="E50" s="165"/>
    </row>
    <row r="51" ht="18.0" customHeight="1">
      <c r="A51" s="164"/>
      <c r="B51" s="5"/>
      <c r="C51" s="130"/>
      <c r="D51" s="130"/>
      <c r="E51" s="165"/>
    </row>
    <row r="52" ht="18.0" customHeight="1">
      <c r="A52" s="164"/>
      <c r="B52" s="5"/>
      <c r="C52" s="130"/>
      <c r="D52" s="130"/>
      <c r="E52" s="165"/>
    </row>
    <row r="53" ht="18.0" customHeight="1">
      <c r="A53" s="164"/>
      <c r="B53" s="5"/>
      <c r="C53" s="130"/>
      <c r="D53" s="130"/>
      <c r="E53" s="165"/>
    </row>
    <row r="54" ht="15.75" customHeight="1">
      <c r="A54" s="164"/>
      <c r="B54" s="5"/>
      <c r="C54" s="130"/>
      <c r="D54" s="130"/>
      <c r="E54" s="165"/>
      <c r="F54" s="139"/>
      <c r="G54" s="139"/>
      <c r="H54" s="139"/>
      <c r="I54" s="139"/>
      <c r="J54" s="139"/>
      <c r="K54" s="139"/>
    </row>
    <row r="55" ht="15.75" customHeight="1">
      <c r="A55" s="164"/>
      <c r="B55" s="5"/>
      <c r="C55" s="130"/>
      <c r="D55" s="130"/>
      <c r="E55" s="165"/>
      <c r="F55" s="139"/>
      <c r="G55" s="139"/>
      <c r="H55" s="139"/>
      <c r="I55" s="139"/>
      <c r="J55" s="139"/>
      <c r="K55" s="139"/>
    </row>
    <row r="56" ht="15.75" customHeight="1">
      <c r="A56" s="166"/>
      <c r="B56" s="167"/>
      <c r="C56" s="168"/>
      <c r="D56" s="168"/>
      <c r="E56" s="169"/>
      <c r="F56" s="139"/>
      <c r="G56" s="139"/>
      <c r="H56" s="139"/>
      <c r="I56" s="139"/>
      <c r="J56" s="139"/>
      <c r="K56" s="139"/>
    </row>
    <row r="57" ht="15.75" customHeight="1">
      <c r="B57" s="5"/>
      <c r="F57" s="139"/>
      <c r="G57" s="139"/>
      <c r="H57" s="139"/>
      <c r="I57" s="139"/>
      <c r="J57" s="139"/>
      <c r="K57" s="139"/>
    </row>
    <row r="58" ht="15.75" customHeight="1">
      <c r="B58" s="5"/>
      <c r="F58" s="139"/>
      <c r="G58" s="139"/>
      <c r="H58" s="139"/>
      <c r="I58" s="139"/>
      <c r="J58" s="139"/>
      <c r="K58" s="139"/>
    </row>
    <row r="59" ht="15.75" customHeight="1">
      <c r="B59" s="5"/>
      <c r="F59" s="139"/>
      <c r="G59" s="139"/>
      <c r="H59" s="139"/>
      <c r="I59" s="139"/>
      <c r="J59" s="139"/>
      <c r="K59" s="139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3:D3"/>
    <mergeCell ref="A5:E5"/>
    <mergeCell ref="A6:C6"/>
    <mergeCell ref="D9:E9"/>
    <mergeCell ref="D10:E10"/>
    <mergeCell ref="D11:E11"/>
    <mergeCell ref="D12:E12"/>
    <mergeCell ref="D40:E40"/>
    <mergeCell ref="D41:E41"/>
    <mergeCell ref="D42:E42"/>
    <mergeCell ref="A46:E46"/>
    <mergeCell ref="A48:C48"/>
    <mergeCell ref="D14:E14"/>
    <mergeCell ref="A18:E18"/>
    <mergeCell ref="A21:C21"/>
    <mergeCell ref="D23:E23"/>
    <mergeCell ref="D24:E24"/>
    <mergeCell ref="D32:E32"/>
    <mergeCell ref="A39:C39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622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623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626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276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628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629</v>
      </c>
      <c r="B10" s="64">
        <v>10.0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630</v>
      </c>
      <c r="B11" s="64">
        <v>25.0</v>
      </c>
      <c r="C11" s="53" t="s">
        <v>25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631</v>
      </c>
      <c r="B12" s="64">
        <v>130.0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72" t="s">
        <v>632</v>
      </c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72" t="s">
        <v>633</v>
      </c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79" t="s">
        <v>634</v>
      </c>
      <c r="B17" s="79"/>
      <c r="C17" s="79"/>
      <c r="D17" s="79"/>
      <c r="E17" s="79"/>
      <c r="F17" s="45"/>
      <c r="G17" s="45"/>
      <c r="H17" s="45"/>
      <c r="I17" s="45"/>
      <c r="J17" s="45"/>
      <c r="K17" s="45"/>
    </row>
    <row r="18">
      <c r="A18" s="79" t="s">
        <v>635</v>
      </c>
      <c r="B18" s="79"/>
      <c r="C18" s="79"/>
      <c r="D18" s="79"/>
      <c r="E18" s="79"/>
      <c r="F18" s="45"/>
      <c r="G18" s="45"/>
      <c r="H18" s="45"/>
      <c r="I18" s="45"/>
      <c r="J18" s="45"/>
      <c r="K18" s="45"/>
    </row>
    <row r="19">
      <c r="A19" s="79" t="s">
        <v>636</v>
      </c>
      <c r="B19" s="79"/>
      <c r="C19" s="79"/>
      <c r="D19" s="79"/>
      <c r="E19" s="79"/>
      <c r="F19" s="45"/>
      <c r="G19" s="45"/>
      <c r="H19" s="45"/>
      <c r="I19" s="45"/>
      <c r="J19" s="45"/>
      <c r="K19" s="45"/>
    </row>
    <row r="20">
      <c r="A20" s="79" t="s">
        <v>637</v>
      </c>
      <c r="B20" s="79"/>
      <c r="C20" s="79"/>
      <c r="D20" s="79"/>
      <c r="E20" s="79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/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327"/>
      <c r="B24" s="97"/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327"/>
      <c r="B25" s="97"/>
      <c r="C25" s="99"/>
      <c r="D25" s="55"/>
      <c r="E25" s="47"/>
      <c r="F25" s="45"/>
      <c r="G25" s="45"/>
      <c r="H25" s="45"/>
      <c r="I25" s="45"/>
      <c r="J25" s="45"/>
      <c r="K25" s="45"/>
    </row>
    <row r="26" ht="15.75" customHeight="1">
      <c r="A26" s="66" t="s">
        <v>62</v>
      </c>
      <c r="B26" s="111"/>
      <c r="C26" s="113"/>
      <c r="D26" s="71"/>
      <c r="E26" s="71"/>
      <c r="F26" s="45"/>
      <c r="G26" s="45"/>
      <c r="H26" s="45"/>
      <c r="I26" s="45"/>
      <c r="J26" s="45"/>
      <c r="K26" s="45"/>
    </row>
    <row r="27" ht="15.75" customHeight="1">
      <c r="A27" s="66" t="s">
        <v>64</v>
      </c>
      <c r="B27" s="114"/>
      <c r="C27" s="115"/>
      <c r="D27" s="116"/>
      <c r="E27" s="116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E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85"/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85"/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28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32" t="s">
        <v>12</v>
      </c>
      <c r="B33" s="34" t="s">
        <v>16</v>
      </c>
      <c r="C33" s="34" t="s">
        <v>20</v>
      </c>
      <c r="D33" s="41" t="s">
        <v>22</v>
      </c>
      <c r="E33" s="38"/>
      <c r="F33" s="45"/>
      <c r="G33" s="45"/>
      <c r="H33" s="45"/>
      <c r="I33" s="45"/>
      <c r="J33" s="45"/>
      <c r="K33" s="45"/>
    </row>
    <row r="34" ht="15.75" customHeight="1">
      <c r="A34" s="327"/>
      <c r="B34" s="97"/>
      <c r="C34" s="99"/>
      <c r="D34" s="55"/>
      <c r="E34" s="47"/>
      <c r="F34" s="45"/>
      <c r="G34" s="45"/>
      <c r="H34" s="45"/>
      <c r="I34" s="45"/>
      <c r="J34" s="45"/>
      <c r="K34" s="45"/>
    </row>
    <row r="35" ht="15.75" customHeight="1">
      <c r="A35" s="327"/>
      <c r="B35" s="97"/>
      <c r="C35" s="99"/>
      <c r="D35" s="55"/>
      <c r="E35" s="47"/>
      <c r="F35" s="45"/>
      <c r="G35" s="45"/>
      <c r="H35" s="45"/>
      <c r="I35" s="45"/>
      <c r="J35" s="45"/>
      <c r="K35" s="45"/>
    </row>
    <row r="36" ht="15.75" customHeight="1">
      <c r="A36" s="66" t="s">
        <v>62</v>
      </c>
      <c r="B36" s="111"/>
      <c r="C36" s="113"/>
      <c r="D36" s="71"/>
      <c r="E36" s="71"/>
      <c r="F36" s="45"/>
      <c r="G36" s="45"/>
      <c r="H36" s="45"/>
      <c r="I36" s="45"/>
      <c r="J36" s="45"/>
      <c r="K36" s="45"/>
    </row>
    <row r="37" ht="15.75" customHeight="1">
      <c r="A37" s="66" t="s">
        <v>64</v>
      </c>
      <c r="B37" s="114"/>
      <c r="C37" s="115"/>
      <c r="D37" s="116"/>
      <c r="E37" s="116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5.75" customHeight="1">
      <c r="A39" s="347"/>
      <c r="B39" s="141"/>
      <c r="C39" s="141"/>
      <c r="D39" s="141"/>
      <c r="E39" s="141"/>
      <c r="F39" s="45"/>
      <c r="G39" s="45"/>
      <c r="H39" s="45"/>
      <c r="I39" s="45"/>
      <c r="J39" s="45"/>
      <c r="K39" s="45"/>
    </row>
    <row r="40" ht="15.75" customHeight="1">
      <c r="A40" s="128"/>
      <c r="B40" s="128"/>
      <c r="C40" s="128"/>
      <c r="D40" s="128"/>
      <c r="E40" s="128"/>
      <c r="F40" s="45"/>
      <c r="G40" s="45"/>
      <c r="H40" s="45"/>
      <c r="I40" s="45"/>
      <c r="J40" s="45"/>
      <c r="K40" s="45"/>
    </row>
    <row r="41" ht="18.0" customHeight="1">
      <c r="A41" s="129"/>
      <c r="D41" s="130"/>
      <c r="E41" s="130"/>
      <c r="F41" s="130"/>
      <c r="G41" s="130"/>
      <c r="H41" s="130"/>
      <c r="I41" s="130"/>
      <c r="J41" s="130"/>
      <c r="K41" s="130"/>
    </row>
    <row r="42" ht="18.0" customHeight="1">
      <c r="A42" s="129"/>
      <c r="B42" s="129"/>
      <c r="C42" s="129"/>
      <c r="D42" s="130"/>
      <c r="E42" s="130"/>
      <c r="F42" s="130"/>
      <c r="G42" s="130"/>
      <c r="H42" s="130"/>
      <c r="I42" s="130"/>
      <c r="J42" s="130"/>
      <c r="K42" s="130"/>
    </row>
    <row r="43" ht="18.0" customHeight="1">
      <c r="A43" s="131" t="s">
        <v>12</v>
      </c>
      <c r="B43" s="31" t="s">
        <v>16</v>
      </c>
      <c r="C43" s="31" t="s">
        <v>20</v>
      </c>
      <c r="D43" s="41"/>
      <c r="E43" s="38"/>
    </row>
    <row r="44" ht="18.0" customHeight="1">
      <c r="A44" s="327"/>
      <c r="B44" s="64"/>
      <c r="C44" s="53"/>
      <c r="D44" s="55"/>
      <c r="E44" s="47"/>
    </row>
    <row r="45" ht="18.0" customHeight="1">
      <c r="A45" s="63"/>
      <c r="B45" s="64"/>
      <c r="C45" s="53"/>
      <c r="D45" s="55"/>
      <c r="E45" s="47"/>
    </row>
    <row r="46" ht="18.0" customHeight="1">
      <c r="A46" s="132" t="s">
        <v>62</v>
      </c>
      <c r="B46" s="133"/>
      <c r="C46" s="134"/>
      <c r="D46" s="135"/>
      <c r="E46" s="136"/>
    </row>
    <row r="47" ht="15.75" customHeight="1">
      <c r="A47" s="137" t="s">
        <v>64</v>
      </c>
      <c r="B47" s="138"/>
      <c r="C47" s="138"/>
      <c r="D47" s="138"/>
      <c r="E47" s="138"/>
      <c r="F47" s="139"/>
      <c r="G47" s="139"/>
      <c r="H47" s="139"/>
      <c r="I47" s="139"/>
      <c r="J47" s="139"/>
      <c r="K47" s="139"/>
    </row>
    <row r="48" ht="15.75" customHeight="1">
      <c r="A48" s="143"/>
      <c r="B48" s="141"/>
      <c r="C48" s="141"/>
      <c r="D48" s="141"/>
      <c r="E48" s="141"/>
      <c r="F48" s="139"/>
      <c r="G48" s="139"/>
      <c r="H48" s="139"/>
      <c r="I48" s="139"/>
      <c r="J48" s="139"/>
      <c r="K48" s="139"/>
    </row>
    <row r="49" ht="15.75" customHeight="1">
      <c r="A49" s="143"/>
      <c r="B49" s="143"/>
      <c r="C49" s="143"/>
      <c r="D49" s="143"/>
      <c r="E49" s="143"/>
      <c r="F49" s="139"/>
      <c r="G49" s="139"/>
      <c r="H49" s="139"/>
      <c r="I49" s="139"/>
      <c r="J49" s="139"/>
      <c r="K49" s="139"/>
    </row>
    <row r="50" ht="15.75" customHeight="1">
      <c r="A50" s="143"/>
      <c r="B50" s="143"/>
      <c r="C50" s="143"/>
      <c r="D50" s="143"/>
      <c r="E50" s="143"/>
      <c r="F50" s="139"/>
      <c r="G50" s="139"/>
      <c r="H50" s="139"/>
      <c r="I50" s="139"/>
      <c r="J50" s="139"/>
      <c r="K50" s="139"/>
    </row>
    <row r="51" ht="15.75" customHeight="1">
      <c r="A51" s="143"/>
      <c r="B51" s="141"/>
      <c r="C51" s="141"/>
      <c r="D51" s="141"/>
      <c r="E51" s="141"/>
      <c r="F51" s="139"/>
      <c r="G51" s="139"/>
      <c r="H51" s="139"/>
      <c r="I51" s="139"/>
      <c r="J51" s="139"/>
      <c r="K51" s="139"/>
    </row>
    <row r="52" ht="15.75" customHeight="1">
      <c r="A52" s="143"/>
      <c r="B52" s="143"/>
      <c r="C52" s="143"/>
      <c r="D52" s="143"/>
      <c r="E52" s="143"/>
      <c r="F52" s="139"/>
      <c r="G52" s="139"/>
      <c r="H52" s="139"/>
      <c r="I52" s="139"/>
      <c r="J52" s="139"/>
      <c r="K52" s="139"/>
    </row>
    <row r="53" ht="15.75" customHeight="1">
      <c r="A53" s="146"/>
      <c r="B53" s="149"/>
      <c r="C53" s="150"/>
      <c r="D53" s="151"/>
      <c r="E53" s="152"/>
    </row>
    <row r="54" ht="15.75" customHeight="1">
      <c r="A54" s="146"/>
      <c r="B54" s="149"/>
      <c r="C54" s="150"/>
      <c r="D54" s="151"/>
      <c r="E54" s="152"/>
    </row>
    <row r="55" ht="15.75" customHeight="1">
      <c r="A55" s="146"/>
      <c r="B55" s="149"/>
      <c r="C55" s="150"/>
      <c r="D55" s="151"/>
      <c r="E55" s="152"/>
    </row>
    <row r="56" ht="15.75" customHeight="1">
      <c r="A56" s="146"/>
      <c r="B56" s="149"/>
      <c r="C56" s="150"/>
      <c r="D56" s="151"/>
      <c r="E56" s="152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49"/>
      <c r="C59" s="150"/>
      <c r="D59" s="151"/>
      <c r="E59" s="152"/>
    </row>
    <row r="60" ht="15.75" customHeight="1">
      <c r="A60" s="146"/>
      <c r="B60" s="159"/>
      <c r="C60" s="160"/>
      <c r="D60" s="149"/>
      <c r="E60" s="161"/>
    </row>
    <row r="61" ht="15.75" customHeight="1">
      <c r="A61" s="162"/>
      <c r="B61" s="163"/>
      <c r="C61" s="163"/>
      <c r="D61" s="163"/>
      <c r="E61" s="152"/>
    </row>
    <row r="62" ht="15.75" customHeight="1">
      <c r="A62" s="164"/>
      <c r="B62" s="5"/>
      <c r="C62" s="130"/>
      <c r="D62" s="130"/>
      <c r="E62" s="165"/>
    </row>
    <row r="63" ht="15.75" customHeight="1">
      <c r="A63" s="164"/>
      <c r="B63" s="5"/>
      <c r="C63" s="130"/>
      <c r="D63" s="130"/>
      <c r="E63" s="165"/>
    </row>
    <row r="64" ht="15.75" customHeight="1">
      <c r="A64" s="164"/>
      <c r="B64" s="5"/>
      <c r="C64" s="130"/>
      <c r="D64" s="130"/>
      <c r="E64" s="165"/>
    </row>
    <row r="65" ht="15.75" customHeight="1">
      <c r="A65" s="164"/>
      <c r="B65" s="5"/>
      <c r="C65" s="130"/>
      <c r="D65" s="130"/>
      <c r="E65" s="165"/>
    </row>
    <row r="66" ht="15.75" customHeight="1">
      <c r="A66" s="164"/>
      <c r="B66" s="5"/>
      <c r="C66" s="130"/>
      <c r="D66" s="130"/>
      <c r="E66" s="165"/>
    </row>
    <row r="67" ht="15.75" customHeight="1">
      <c r="A67" s="164"/>
      <c r="B67" s="5"/>
      <c r="C67" s="130"/>
      <c r="D67" s="130"/>
      <c r="E67" s="165"/>
    </row>
    <row r="68" ht="15.75" customHeight="1">
      <c r="A68" s="164"/>
      <c r="B68" s="5"/>
      <c r="C68" s="130"/>
      <c r="D68" s="130"/>
      <c r="E68" s="165"/>
    </row>
    <row r="69" ht="15.75" customHeight="1">
      <c r="A69" s="166"/>
      <c r="B69" s="167"/>
      <c r="C69" s="168"/>
      <c r="D69" s="168"/>
      <c r="E69" s="169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21:C21"/>
    <mergeCell ref="D23:E23"/>
    <mergeCell ref="D24:E24"/>
    <mergeCell ref="D25:E25"/>
    <mergeCell ref="A32:C32"/>
    <mergeCell ref="D33:E33"/>
    <mergeCell ref="D34:E34"/>
    <mergeCell ref="D35:E35"/>
    <mergeCell ref="A39:E39"/>
    <mergeCell ref="A41:C41"/>
    <mergeCell ref="D43:E43"/>
    <mergeCell ref="D44:E44"/>
    <mergeCell ref="D56:E56"/>
    <mergeCell ref="D57:E57"/>
    <mergeCell ref="D58:E58"/>
    <mergeCell ref="D59:E59"/>
    <mergeCell ref="A61:E61"/>
    <mergeCell ref="D45:E45"/>
    <mergeCell ref="A47:E47"/>
    <mergeCell ref="A48:E48"/>
    <mergeCell ref="A51:E51"/>
    <mergeCell ref="D53:E53"/>
    <mergeCell ref="D54:E54"/>
    <mergeCell ref="D55:E55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639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640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276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641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642</v>
      </c>
      <c r="B10" s="64">
        <v>100.0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643</v>
      </c>
      <c r="B11" s="64">
        <v>50.0</v>
      </c>
      <c r="C11" s="53" t="s">
        <v>25</v>
      </c>
      <c r="D11" s="55"/>
      <c r="E11" s="55"/>
      <c r="F11" s="45"/>
      <c r="G11" s="45"/>
      <c r="H11" s="45"/>
      <c r="I11" s="45"/>
      <c r="J11" s="45"/>
      <c r="K11" s="45"/>
    </row>
    <row r="12">
      <c r="A12" s="63" t="s">
        <v>644</v>
      </c>
      <c r="B12" s="64">
        <v>10.0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645</v>
      </c>
      <c r="B13" s="64">
        <v>10.0</v>
      </c>
      <c r="C13" s="53" t="s">
        <v>25</v>
      </c>
      <c r="D13" s="55" t="s">
        <v>646</v>
      </c>
      <c r="E13" s="47"/>
      <c r="F13" s="45"/>
      <c r="G13" s="45"/>
      <c r="H13" s="45"/>
      <c r="I13" s="45"/>
      <c r="J13" s="45"/>
      <c r="K13" s="45"/>
    </row>
    <row r="14">
      <c r="A14" s="63" t="s">
        <v>41</v>
      </c>
      <c r="B14" s="64">
        <v>5.0</v>
      </c>
      <c r="C14" s="53" t="s">
        <v>25</v>
      </c>
      <c r="D14" s="55"/>
      <c r="E14" s="61"/>
      <c r="F14" s="45"/>
      <c r="G14" s="45"/>
      <c r="H14" s="45"/>
      <c r="I14" s="45"/>
      <c r="J14" s="45"/>
      <c r="K14" s="45"/>
    </row>
    <row r="15">
      <c r="A15" s="63"/>
      <c r="B15" s="64"/>
      <c r="C15" s="53"/>
      <c r="D15" s="55"/>
      <c r="E15" s="61"/>
      <c r="F15" s="45"/>
      <c r="G15" s="45"/>
      <c r="H15" s="45"/>
      <c r="I15" s="45"/>
      <c r="J15" s="45"/>
      <c r="K15" s="45"/>
    </row>
    <row r="16">
      <c r="A16" s="85"/>
      <c r="B16" s="118"/>
      <c r="C16" s="120"/>
      <c r="D16" s="121"/>
      <c r="E16" s="121"/>
      <c r="F16" s="45"/>
      <c r="G16" s="45"/>
      <c r="H16" s="45"/>
      <c r="I16" s="45"/>
      <c r="J16" s="45"/>
      <c r="K16" s="45"/>
    </row>
    <row r="17">
      <c r="A17" s="28" t="s">
        <v>647</v>
      </c>
      <c r="D17" s="121"/>
      <c r="E17" s="121"/>
      <c r="F17" s="45"/>
      <c r="G17" s="45"/>
      <c r="H17" s="45"/>
      <c r="I17" s="45"/>
      <c r="J17" s="45"/>
      <c r="K17" s="45"/>
    </row>
    <row r="18">
      <c r="A18" s="32" t="s">
        <v>12</v>
      </c>
      <c r="B18" s="34" t="s">
        <v>16</v>
      </c>
      <c r="C18" s="34" t="s">
        <v>20</v>
      </c>
      <c r="D18" s="41" t="s">
        <v>22</v>
      </c>
      <c r="E18" s="38"/>
      <c r="F18" s="45"/>
      <c r="G18" s="45"/>
      <c r="H18" s="45"/>
      <c r="I18" s="45"/>
      <c r="J18" s="45"/>
      <c r="K18" s="45"/>
    </row>
    <row r="19">
      <c r="A19" s="63" t="s">
        <v>648</v>
      </c>
      <c r="B19" s="97">
        <v>0.05</v>
      </c>
      <c r="C19" s="99" t="s">
        <v>649</v>
      </c>
      <c r="D19" s="55"/>
      <c r="E19" s="47"/>
      <c r="F19" s="45"/>
      <c r="G19" s="45"/>
      <c r="H19" s="45"/>
      <c r="I19" s="45"/>
      <c r="J19" s="45"/>
      <c r="K19" s="45"/>
    </row>
    <row r="20">
      <c r="A20" s="63" t="s">
        <v>486</v>
      </c>
      <c r="B20" s="97">
        <v>2.0</v>
      </c>
      <c r="C20" s="99" t="s">
        <v>74</v>
      </c>
      <c r="D20" s="55"/>
      <c r="E20" s="55"/>
      <c r="F20" s="45"/>
      <c r="G20" s="45"/>
      <c r="H20" s="45"/>
      <c r="I20" s="45"/>
      <c r="J20" s="45"/>
      <c r="K20" s="45"/>
    </row>
    <row r="21" ht="15.75" customHeight="1">
      <c r="A21" s="63" t="s">
        <v>650</v>
      </c>
      <c r="B21" s="97">
        <v>1.0</v>
      </c>
      <c r="C21" s="99" t="s">
        <v>58</v>
      </c>
      <c r="D21" s="55"/>
      <c r="E21" s="55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/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66" t="s">
        <v>62</v>
      </c>
      <c r="B23" s="111">
        <v>2.2</v>
      </c>
      <c r="C23" s="113" t="s">
        <v>58</v>
      </c>
      <c r="D23" s="71"/>
      <c r="E23" s="71"/>
      <c r="F23" s="45"/>
      <c r="G23" s="45"/>
      <c r="H23" s="45"/>
      <c r="I23" s="45"/>
      <c r="J23" s="45"/>
      <c r="K23" s="45"/>
    </row>
    <row r="24" ht="15.75" customHeight="1">
      <c r="A24" s="66" t="s">
        <v>64</v>
      </c>
      <c r="B24" s="114"/>
      <c r="C24" s="115"/>
      <c r="D24" s="116"/>
      <c r="E24" s="116"/>
      <c r="F24" s="45"/>
      <c r="G24" s="45"/>
      <c r="H24" s="45"/>
      <c r="I24" s="45"/>
      <c r="J24" s="45"/>
      <c r="K24" s="45"/>
    </row>
    <row r="25" ht="15.75" customHeight="1">
      <c r="A25" s="72" t="s">
        <v>651</v>
      </c>
      <c r="B25" s="72"/>
      <c r="C25" s="72"/>
      <c r="D25" s="72"/>
      <c r="E25" s="72"/>
      <c r="F25" s="45"/>
      <c r="G25" s="45"/>
      <c r="H25" s="45"/>
      <c r="I25" s="45"/>
      <c r="J25" s="45"/>
      <c r="K25" s="45"/>
    </row>
    <row r="26" ht="15.75" customHeight="1">
      <c r="A26" s="140" t="s">
        <v>652</v>
      </c>
      <c r="B26" s="141"/>
      <c r="C26" s="141"/>
      <c r="D26" s="141"/>
      <c r="E26" s="141"/>
      <c r="F26" s="45"/>
      <c r="G26" s="45"/>
      <c r="H26" s="45"/>
      <c r="I26" s="45"/>
      <c r="J26" s="45"/>
      <c r="K26" s="45"/>
    </row>
    <row r="27" ht="15.75" customHeight="1">
      <c r="A27" s="72" t="s">
        <v>654</v>
      </c>
      <c r="B27" s="72"/>
      <c r="C27" s="72"/>
      <c r="D27" s="72"/>
      <c r="E27" s="72"/>
      <c r="F27" s="45"/>
      <c r="G27" s="45"/>
      <c r="H27" s="45"/>
      <c r="I27" s="45"/>
      <c r="J27" s="45"/>
      <c r="K27" s="45"/>
    </row>
    <row r="28" ht="15.75" customHeight="1">
      <c r="A28" s="79" t="s">
        <v>655</v>
      </c>
      <c r="B28" s="79"/>
      <c r="C28" s="79"/>
      <c r="D28" s="79"/>
      <c r="E28" s="79"/>
      <c r="F28" s="45"/>
      <c r="G28" s="45"/>
      <c r="H28" s="45"/>
      <c r="I28" s="45"/>
      <c r="J28" s="45"/>
      <c r="K28" s="45"/>
    </row>
    <row r="29" ht="15.0" customHeight="1">
      <c r="A29" s="79" t="s">
        <v>657</v>
      </c>
      <c r="B29" s="79"/>
      <c r="C29" s="79"/>
      <c r="D29" s="79"/>
      <c r="E29" s="79"/>
      <c r="F29" s="45"/>
      <c r="G29" s="45"/>
      <c r="H29" s="45"/>
      <c r="I29" s="45"/>
      <c r="J29" s="45"/>
      <c r="K29" s="45"/>
    </row>
    <row r="30" ht="15.75" customHeight="1">
      <c r="A30" s="129"/>
      <c r="D30" s="130"/>
      <c r="E30" s="130"/>
      <c r="F30" s="45"/>
      <c r="G30" s="45"/>
      <c r="H30" s="45"/>
      <c r="I30" s="45"/>
      <c r="J30" s="45"/>
      <c r="K30" s="45"/>
    </row>
    <row r="31" ht="15.75" customHeight="1">
      <c r="A31" s="28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32" t="s">
        <v>12</v>
      </c>
      <c r="B32" s="34" t="s">
        <v>16</v>
      </c>
      <c r="C32" s="34" t="s">
        <v>20</v>
      </c>
      <c r="D32" s="41" t="s">
        <v>22</v>
      </c>
      <c r="E32" s="38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327"/>
      <c r="B34" s="97"/>
      <c r="C34" s="99"/>
      <c r="D34" s="55"/>
      <c r="E34" s="47"/>
      <c r="F34" s="45"/>
      <c r="G34" s="45"/>
      <c r="H34" s="45"/>
      <c r="I34" s="45"/>
      <c r="J34" s="45"/>
      <c r="K34" s="45"/>
    </row>
    <row r="35" ht="15.75" customHeight="1">
      <c r="A35" s="66" t="s">
        <v>62</v>
      </c>
      <c r="B35" s="111"/>
      <c r="C35" s="113"/>
      <c r="D35" s="71"/>
      <c r="E35" s="71"/>
      <c r="F35" s="45"/>
      <c r="G35" s="45"/>
      <c r="H35" s="45"/>
      <c r="I35" s="45"/>
      <c r="J35" s="45"/>
      <c r="K35" s="45"/>
    </row>
    <row r="36" ht="15.75" customHeight="1">
      <c r="A36" s="66" t="s">
        <v>64</v>
      </c>
      <c r="B36" s="114"/>
      <c r="C36" s="115"/>
      <c r="D36" s="116"/>
      <c r="E36" s="116"/>
      <c r="F36" s="45"/>
      <c r="G36" s="45"/>
      <c r="H36" s="45"/>
      <c r="I36" s="45"/>
      <c r="J36" s="45"/>
      <c r="K36" s="45"/>
    </row>
    <row r="37" ht="15.75" customHeight="1">
      <c r="A37" s="128"/>
      <c r="B37" s="128"/>
      <c r="C37" s="128"/>
      <c r="D37" s="128"/>
      <c r="E37" s="128"/>
      <c r="F37" s="45"/>
      <c r="G37" s="45"/>
      <c r="H37" s="45"/>
      <c r="I37" s="45"/>
      <c r="J37" s="45"/>
      <c r="K37" s="45"/>
    </row>
    <row r="38" ht="15.75" customHeight="1">
      <c r="A38" s="347"/>
      <c r="B38" s="141"/>
      <c r="C38" s="141"/>
      <c r="D38" s="141"/>
      <c r="E38" s="141"/>
      <c r="F38" s="45"/>
      <c r="G38" s="45"/>
      <c r="H38" s="45"/>
      <c r="I38" s="45"/>
      <c r="J38" s="45"/>
      <c r="K38" s="45"/>
    </row>
    <row r="39" ht="15.75" customHeight="1">
      <c r="A39" s="128"/>
      <c r="B39" s="128"/>
      <c r="C39" s="128"/>
      <c r="D39" s="128"/>
      <c r="E39" s="128"/>
      <c r="F39" s="45"/>
      <c r="G39" s="45"/>
      <c r="H39" s="45"/>
      <c r="I39" s="45"/>
      <c r="J39" s="45"/>
      <c r="K39" s="45"/>
    </row>
    <row r="40" ht="18.0" customHeight="1">
      <c r="A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29"/>
      <c r="B41" s="129"/>
      <c r="C41" s="129"/>
      <c r="D41" s="130"/>
      <c r="E41" s="130"/>
      <c r="F41" s="130"/>
      <c r="G41" s="130"/>
      <c r="H41" s="130"/>
      <c r="I41" s="130"/>
      <c r="J41" s="130"/>
      <c r="K41" s="130"/>
    </row>
    <row r="42" ht="18.0" customHeight="1">
      <c r="A42" s="131" t="s">
        <v>12</v>
      </c>
      <c r="B42" s="31" t="s">
        <v>16</v>
      </c>
      <c r="C42" s="31" t="s">
        <v>20</v>
      </c>
      <c r="D42" s="41"/>
      <c r="E42" s="38"/>
    </row>
    <row r="43" ht="18.0" customHeight="1">
      <c r="A43" s="327"/>
      <c r="B43" s="64"/>
      <c r="C43" s="53"/>
      <c r="D43" s="55"/>
      <c r="E43" s="47"/>
    </row>
    <row r="44" ht="18.0" customHeight="1">
      <c r="A44" s="63"/>
      <c r="B44" s="64"/>
      <c r="C44" s="53"/>
      <c r="D44" s="55"/>
      <c r="E44" s="47"/>
    </row>
    <row r="45" ht="18.0" customHeight="1">
      <c r="A45" s="132" t="s">
        <v>62</v>
      </c>
      <c r="B45" s="133"/>
      <c r="C45" s="134"/>
      <c r="D45" s="135"/>
      <c r="E45" s="136"/>
    </row>
    <row r="46" ht="15.75" customHeight="1">
      <c r="A46" s="137" t="s">
        <v>64</v>
      </c>
      <c r="B46" s="138"/>
      <c r="C46" s="138"/>
      <c r="D46" s="138"/>
      <c r="E46" s="138"/>
      <c r="F46" s="139"/>
      <c r="G46" s="139"/>
      <c r="H46" s="139"/>
      <c r="I46" s="139"/>
      <c r="J46" s="139"/>
      <c r="K46" s="139"/>
    </row>
    <row r="47" ht="15.75" customHeight="1">
      <c r="A47" s="143"/>
      <c r="B47" s="141"/>
      <c r="C47" s="141"/>
      <c r="D47" s="141"/>
      <c r="E47" s="141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3"/>
      <c r="C49" s="143"/>
      <c r="D49" s="143"/>
      <c r="E49" s="143"/>
      <c r="F49" s="139"/>
      <c r="G49" s="139"/>
      <c r="H49" s="139"/>
      <c r="I49" s="139"/>
      <c r="J49" s="139"/>
      <c r="K49" s="139"/>
    </row>
    <row r="50" ht="15.75" customHeight="1">
      <c r="A50" s="143"/>
      <c r="B50" s="141"/>
      <c r="C50" s="141"/>
      <c r="D50" s="141"/>
      <c r="E50" s="141"/>
      <c r="F50" s="139"/>
      <c r="G50" s="139"/>
      <c r="H50" s="139"/>
      <c r="I50" s="139"/>
      <c r="J50" s="139"/>
      <c r="K50" s="139"/>
    </row>
    <row r="51" ht="15.75" customHeight="1">
      <c r="A51" s="143"/>
      <c r="B51" s="143"/>
      <c r="C51" s="143"/>
      <c r="D51" s="143"/>
      <c r="E51" s="143"/>
      <c r="F51" s="139"/>
      <c r="G51" s="139"/>
      <c r="H51" s="139"/>
      <c r="I51" s="139"/>
      <c r="J51" s="139"/>
      <c r="K51" s="139"/>
    </row>
    <row r="52" ht="15.75" customHeight="1">
      <c r="A52" s="146"/>
      <c r="B52" s="149"/>
      <c r="C52" s="150"/>
      <c r="D52" s="151"/>
      <c r="E52" s="152"/>
    </row>
    <row r="53" ht="15.75" customHeight="1">
      <c r="A53" s="146"/>
      <c r="B53" s="149"/>
      <c r="C53" s="150"/>
      <c r="D53" s="151"/>
      <c r="E53" s="152"/>
    </row>
    <row r="54" ht="15.75" customHeight="1">
      <c r="A54" s="146"/>
      <c r="B54" s="149"/>
      <c r="C54" s="150"/>
      <c r="D54" s="151"/>
      <c r="E54" s="152"/>
    </row>
    <row r="55" ht="15.75" customHeight="1">
      <c r="A55" s="146"/>
      <c r="B55" s="149"/>
      <c r="C55" s="150"/>
      <c r="D55" s="151"/>
      <c r="E55" s="152"/>
    </row>
    <row r="56" ht="15.75" customHeight="1">
      <c r="A56" s="146"/>
      <c r="B56" s="149"/>
      <c r="C56" s="150"/>
      <c r="D56" s="151"/>
      <c r="E56" s="152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59"/>
      <c r="C59" s="160"/>
      <c r="D59" s="149"/>
      <c r="E59" s="161"/>
    </row>
    <row r="60" ht="15.75" customHeight="1">
      <c r="A60" s="162"/>
      <c r="B60" s="163"/>
      <c r="C60" s="163"/>
      <c r="D60" s="163"/>
      <c r="E60" s="152"/>
    </row>
    <row r="61" ht="15.75" customHeight="1">
      <c r="A61" s="164"/>
      <c r="B61" s="5"/>
      <c r="C61" s="130"/>
      <c r="D61" s="130"/>
      <c r="E61" s="165"/>
    </row>
    <row r="62" ht="15.75" customHeight="1">
      <c r="A62" s="164"/>
      <c r="B62" s="5"/>
      <c r="C62" s="130"/>
      <c r="D62" s="130"/>
      <c r="E62" s="165"/>
    </row>
    <row r="63" ht="15.75" customHeight="1">
      <c r="A63" s="164"/>
      <c r="B63" s="5"/>
      <c r="C63" s="130"/>
      <c r="D63" s="130"/>
      <c r="E63" s="165"/>
    </row>
    <row r="64" ht="15.75" customHeight="1">
      <c r="A64" s="164"/>
      <c r="B64" s="5"/>
      <c r="C64" s="130"/>
      <c r="D64" s="130"/>
      <c r="E64" s="165"/>
    </row>
    <row r="65" ht="15.75" customHeight="1">
      <c r="A65" s="164"/>
      <c r="B65" s="5"/>
      <c r="C65" s="130"/>
      <c r="D65" s="130"/>
      <c r="E65" s="165"/>
    </row>
    <row r="66" ht="15.75" customHeight="1">
      <c r="A66" s="164"/>
      <c r="B66" s="5"/>
      <c r="C66" s="130"/>
      <c r="D66" s="130"/>
      <c r="E66" s="165"/>
    </row>
    <row r="67" ht="15.75" customHeight="1">
      <c r="A67" s="164"/>
      <c r="B67" s="5"/>
      <c r="C67" s="130"/>
      <c r="D67" s="130"/>
      <c r="E67" s="165"/>
    </row>
    <row r="68" ht="15.75" customHeight="1">
      <c r="A68" s="166"/>
      <c r="B68" s="167"/>
      <c r="C68" s="168"/>
      <c r="D68" s="168"/>
      <c r="E68" s="169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3:D3"/>
    <mergeCell ref="A5:E5"/>
    <mergeCell ref="A6:C6"/>
    <mergeCell ref="D9:E9"/>
    <mergeCell ref="D10:E10"/>
    <mergeCell ref="D12:E12"/>
    <mergeCell ref="D13:E13"/>
    <mergeCell ref="A17:C17"/>
    <mergeCell ref="D18:E18"/>
    <mergeCell ref="D19:E19"/>
    <mergeCell ref="D22:E22"/>
    <mergeCell ref="A26:E26"/>
    <mergeCell ref="A30:C30"/>
    <mergeCell ref="A31:C31"/>
    <mergeCell ref="D32:E32"/>
    <mergeCell ref="D33:E33"/>
    <mergeCell ref="D34:E34"/>
    <mergeCell ref="A38:E38"/>
    <mergeCell ref="A40:C40"/>
    <mergeCell ref="D42:E42"/>
    <mergeCell ref="D43:E43"/>
    <mergeCell ref="D55:E55"/>
    <mergeCell ref="D56:E56"/>
    <mergeCell ref="D57:E57"/>
    <mergeCell ref="D58:E58"/>
    <mergeCell ref="A60:E60"/>
    <mergeCell ref="D44:E44"/>
    <mergeCell ref="A46:E46"/>
    <mergeCell ref="A47:E47"/>
    <mergeCell ref="A50:E50"/>
    <mergeCell ref="D52:E52"/>
    <mergeCell ref="D53:E53"/>
    <mergeCell ref="D54:E54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653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656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658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278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659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660</v>
      </c>
      <c r="B11" s="64">
        <v>30.0</v>
      </c>
      <c r="C11" s="53" t="s">
        <v>112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661</v>
      </c>
      <c r="B12" s="64">
        <v>10.0</v>
      </c>
      <c r="C12" s="53" t="s">
        <v>20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117</v>
      </c>
      <c r="B13" s="64">
        <v>20.0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662</v>
      </c>
      <c r="B14" s="64">
        <v>20.0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79" t="s">
        <v>663</v>
      </c>
      <c r="B15" s="5">
        <v>30.0</v>
      </c>
      <c r="C15" s="67" t="s">
        <v>25</v>
      </c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3"/>
      <c r="B17" s="64"/>
      <c r="C17" s="53"/>
      <c r="D17" s="55"/>
      <c r="E17" s="55"/>
      <c r="F17" s="45"/>
      <c r="G17" s="45"/>
      <c r="H17" s="45"/>
      <c r="I17" s="45"/>
      <c r="J17" s="45"/>
      <c r="K17" s="45"/>
    </row>
    <row r="18">
      <c r="A18" s="66" t="s">
        <v>48</v>
      </c>
      <c r="B18" s="68"/>
      <c r="C18" s="68"/>
      <c r="D18" s="71"/>
      <c r="E18" s="71"/>
      <c r="F18" s="45"/>
      <c r="G18" s="45"/>
      <c r="H18" s="45"/>
      <c r="I18" s="45"/>
      <c r="J18" s="45"/>
      <c r="K18" s="45"/>
    </row>
    <row r="19">
      <c r="A19" s="72" t="s">
        <v>664</v>
      </c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72" t="s">
        <v>665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79" t="s">
        <v>666</v>
      </c>
      <c r="B21" s="79"/>
      <c r="C21" s="79"/>
      <c r="D21" s="79"/>
      <c r="E21" s="79"/>
      <c r="F21" s="45"/>
      <c r="G21" s="45"/>
      <c r="H21" s="45"/>
      <c r="I21" s="45"/>
      <c r="J21" s="45"/>
      <c r="K21" s="45"/>
    </row>
    <row r="22" ht="15.75" customHeight="1">
      <c r="A22" s="85"/>
      <c r="B22" s="85"/>
      <c r="C22" s="85"/>
      <c r="D22" s="85"/>
      <c r="E22" s="85"/>
      <c r="F22" s="45"/>
      <c r="G22" s="45"/>
      <c r="H22" s="45"/>
      <c r="I22" s="45"/>
      <c r="J22" s="45"/>
      <c r="K22" s="45"/>
    </row>
    <row r="23" ht="15.75" customHeight="1">
      <c r="A23" s="28"/>
      <c r="D23" s="45"/>
      <c r="E23" s="45"/>
      <c r="F23" s="45"/>
      <c r="G23" s="45"/>
      <c r="H23" s="45"/>
      <c r="I23" s="45"/>
      <c r="J23" s="45"/>
      <c r="K23" s="45"/>
    </row>
    <row r="24" ht="15.75" customHeight="1">
      <c r="A24" s="28" t="s">
        <v>667</v>
      </c>
      <c r="B24" s="28"/>
      <c r="C24" s="28"/>
      <c r="D24" s="45"/>
      <c r="E24" s="45"/>
      <c r="F24" s="45"/>
      <c r="G24" s="45"/>
      <c r="H24" s="45"/>
      <c r="I24" s="45"/>
      <c r="J24" s="45"/>
      <c r="K24" s="45"/>
    </row>
    <row r="25" ht="15.75" customHeight="1">
      <c r="A25" s="32" t="s">
        <v>12</v>
      </c>
      <c r="B25" s="34" t="s">
        <v>16</v>
      </c>
      <c r="C25" s="34" t="s">
        <v>20</v>
      </c>
      <c r="D25" s="41" t="s">
        <v>22</v>
      </c>
      <c r="E25" s="38"/>
      <c r="F25" s="45"/>
      <c r="G25" s="45"/>
      <c r="H25" s="45"/>
      <c r="I25" s="45"/>
      <c r="J25" s="45"/>
      <c r="K25" s="45"/>
    </row>
    <row r="26" ht="15.75" customHeight="1">
      <c r="A26" s="63" t="s">
        <v>667</v>
      </c>
      <c r="B26" s="97">
        <v>1.0</v>
      </c>
      <c r="C26" s="99" t="s">
        <v>60</v>
      </c>
      <c r="D26" s="55" t="s">
        <v>668</v>
      </c>
      <c r="E26" s="47"/>
      <c r="F26" s="45"/>
      <c r="G26" s="45"/>
      <c r="H26" s="45"/>
      <c r="I26" s="45"/>
      <c r="J26" s="45"/>
      <c r="K26" s="45"/>
    </row>
    <row r="27" ht="15.75" customHeight="1">
      <c r="A27" s="327"/>
      <c r="B27" s="97"/>
      <c r="C27" s="99"/>
      <c r="D27" s="55"/>
      <c r="E27" s="47"/>
      <c r="F27" s="45"/>
      <c r="G27" s="45"/>
      <c r="H27" s="45"/>
      <c r="I27" s="45"/>
      <c r="J27" s="45"/>
      <c r="K27" s="45"/>
    </row>
    <row r="28" ht="15.75" customHeight="1">
      <c r="A28" s="66" t="s">
        <v>62</v>
      </c>
      <c r="B28" s="111">
        <v>1.0</v>
      </c>
      <c r="C28" s="113" t="s">
        <v>74</v>
      </c>
      <c r="D28" s="71"/>
      <c r="E28" s="71"/>
      <c r="F28" s="45"/>
      <c r="G28" s="45"/>
      <c r="H28" s="45"/>
      <c r="I28" s="45"/>
      <c r="J28" s="45"/>
      <c r="K28" s="45"/>
    </row>
    <row r="29" ht="15.75" customHeight="1">
      <c r="A29" s="66" t="s">
        <v>64</v>
      </c>
      <c r="B29" s="114"/>
      <c r="C29" s="115"/>
      <c r="D29" s="116"/>
      <c r="E29" s="116"/>
      <c r="F29" s="45"/>
      <c r="G29" s="45"/>
      <c r="H29" s="45"/>
      <c r="I29" s="45"/>
      <c r="J29" s="45"/>
      <c r="K29" s="45"/>
    </row>
    <row r="30" ht="15.75" customHeight="1">
      <c r="A30" s="79" t="s">
        <v>670</v>
      </c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79" t="s">
        <v>671</v>
      </c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79" t="s">
        <v>672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28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32" t="s">
        <v>12</v>
      </c>
      <c r="B35" s="34" t="s">
        <v>16</v>
      </c>
      <c r="C35" s="34" t="s">
        <v>20</v>
      </c>
      <c r="D35" s="41" t="s">
        <v>22</v>
      </c>
      <c r="E35" s="38"/>
      <c r="F35" s="45"/>
      <c r="G35" s="45"/>
      <c r="H35" s="45"/>
      <c r="I35" s="45"/>
      <c r="J35" s="45"/>
      <c r="K35" s="45"/>
    </row>
    <row r="36" ht="15.75" customHeight="1">
      <c r="A36" s="327"/>
      <c r="B36" s="97"/>
      <c r="C36" s="99"/>
      <c r="D36" s="55"/>
      <c r="E36" s="47"/>
      <c r="F36" s="45"/>
      <c r="G36" s="45"/>
      <c r="H36" s="45"/>
      <c r="I36" s="45"/>
      <c r="J36" s="45"/>
      <c r="K36" s="45"/>
    </row>
    <row r="37" ht="15.75" customHeight="1">
      <c r="A37" s="327"/>
      <c r="B37" s="97"/>
      <c r="C37" s="99"/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6" t="s">
        <v>62</v>
      </c>
      <c r="B38" s="111"/>
      <c r="C38" s="113"/>
      <c r="D38" s="71"/>
      <c r="E38" s="71"/>
      <c r="F38" s="45"/>
      <c r="G38" s="45"/>
      <c r="H38" s="45"/>
      <c r="I38" s="45"/>
      <c r="J38" s="45"/>
      <c r="K38" s="45"/>
    </row>
    <row r="39" ht="15.75" customHeight="1">
      <c r="A39" s="66" t="s">
        <v>64</v>
      </c>
      <c r="B39" s="114"/>
      <c r="C39" s="115"/>
      <c r="D39" s="116"/>
      <c r="E39" s="116"/>
      <c r="F39" s="45"/>
      <c r="G39" s="45"/>
      <c r="H39" s="45"/>
      <c r="I39" s="45"/>
      <c r="J39" s="45"/>
      <c r="K39" s="45"/>
    </row>
    <row r="40" ht="15.75" customHeight="1">
      <c r="A40" s="128"/>
      <c r="B40" s="128"/>
      <c r="C40" s="128"/>
      <c r="D40" s="128"/>
      <c r="E40" s="128"/>
      <c r="F40" s="45"/>
      <c r="G40" s="45"/>
      <c r="H40" s="45"/>
      <c r="I40" s="45"/>
      <c r="J40" s="45"/>
      <c r="K40" s="45"/>
    </row>
    <row r="41" ht="15.75" customHeight="1">
      <c r="A41" s="347"/>
      <c r="B41" s="141"/>
      <c r="C41" s="141"/>
      <c r="D41" s="141"/>
      <c r="E41" s="141"/>
      <c r="F41" s="45"/>
      <c r="G41" s="45"/>
      <c r="H41" s="45"/>
      <c r="I41" s="45"/>
      <c r="J41" s="45"/>
      <c r="K41" s="45"/>
    </row>
    <row r="42" ht="15.75" customHeight="1">
      <c r="A42" s="128"/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8.0" customHeight="1">
      <c r="A43" s="129"/>
      <c r="D43" s="130"/>
      <c r="E43" s="130"/>
      <c r="F43" s="130"/>
      <c r="G43" s="130"/>
      <c r="H43" s="130"/>
      <c r="I43" s="130"/>
      <c r="J43" s="130"/>
      <c r="K43" s="130"/>
    </row>
    <row r="44" ht="18.0" customHeight="1">
      <c r="A44" s="129"/>
      <c r="B44" s="129"/>
      <c r="C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131" t="s">
        <v>12</v>
      </c>
      <c r="B45" s="31" t="s">
        <v>16</v>
      </c>
      <c r="C45" s="31" t="s">
        <v>20</v>
      </c>
      <c r="D45" s="41"/>
      <c r="E45" s="38"/>
    </row>
    <row r="46" ht="18.0" customHeight="1">
      <c r="A46" s="327"/>
      <c r="B46" s="64"/>
      <c r="C46" s="53"/>
      <c r="D46" s="55"/>
      <c r="E46" s="47"/>
    </row>
    <row r="47" ht="18.0" customHeight="1">
      <c r="A47" s="63"/>
      <c r="B47" s="64"/>
      <c r="C47" s="53"/>
      <c r="D47" s="55"/>
      <c r="E47" s="47"/>
    </row>
    <row r="48" ht="18.0" customHeight="1">
      <c r="A48" s="132" t="s">
        <v>62</v>
      </c>
      <c r="B48" s="133"/>
      <c r="C48" s="134"/>
      <c r="D48" s="135"/>
      <c r="E48" s="136"/>
    </row>
    <row r="49" ht="15.75" customHeight="1">
      <c r="A49" s="137" t="s">
        <v>64</v>
      </c>
      <c r="B49" s="138"/>
      <c r="C49" s="138"/>
      <c r="D49" s="138"/>
      <c r="E49" s="138"/>
      <c r="F49" s="139"/>
      <c r="G49" s="139"/>
      <c r="H49" s="139"/>
      <c r="I49" s="139"/>
      <c r="J49" s="139"/>
      <c r="K49" s="139"/>
    </row>
    <row r="50" ht="15.75" customHeight="1">
      <c r="A50" s="143"/>
      <c r="B50" s="141"/>
      <c r="C50" s="141"/>
      <c r="D50" s="141"/>
      <c r="E50" s="141"/>
      <c r="F50" s="139"/>
      <c r="G50" s="139"/>
      <c r="H50" s="139"/>
      <c r="I50" s="139"/>
      <c r="J50" s="139"/>
      <c r="K50" s="139"/>
    </row>
    <row r="51" ht="15.75" customHeight="1">
      <c r="A51" s="143"/>
      <c r="B51" s="143"/>
      <c r="C51" s="143"/>
      <c r="D51" s="143"/>
      <c r="E51" s="143"/>
      <c r="F51" s="139"/>
      <c r="G51" s="139"/>
      <c r="H51" s="139"/>
      <c r="I51" s="139"/>
      <c r="J51" s="139"/>
      <c r="K51" s="139"/>
    </row>
    <row r="52" ht="15.75" customHeight="1">
      <c r="A52" s="143"/>
      <c r="B52" s="143"/>
      <c r="C52" s="143"/>
      <c r="D52" s="143"/>
      <c r="E52" s="143"/>
      <c r="F52" s="139"/>
      <c r="G52" s="139"/>
      <c r="H52" s="139"/>
      <c r="I52" s="139"/>
      <c r="J52" s="139"/>
      <c r="K52" s="139"/>
    </row>
    <row r="53" ht="15.75" customHeight="1">
      <c r="A53" s="143"/>
      <c r="B53" s="141"/>
      <c r="C53" s="141"/>
      <c r="D53" s="141"/>
      <c r="E53" s="141"/>
      <c r="F53" s="139"/>
      <c r="G53" s="139"/>
      <c r="H53" s="139"/>
      <c r="I53" s="139"/>
      <c r="J53" s="139"/>
      <c r="K53" s="139"/>
    </row>
    <row r="54" ht="15.75" customHeight="1">
      <c r="A54" s="143"/>
      <c r="B54" s="143"/>
      <c r="C54" s="143"/>
      <c r="D54" s="143"/>
      <c r="E54" s="143"/>
      <c r="F54" s="139"/>
      <c r="G54" s="139"/>
      <c r="H54" s="139"/>
      <c r="I54" s="139"/>
      <c r="J54" s="139"/>
      <c r="K54" s="139"/>
    </row>
    <row r="55" ht="15.75" customHeight="1">
      <c r="A55" s="146"/>
      <c r="B55" s="149"/>
      <c r="C55" s="150"/>
      <c r="D55" s="151"/>
      <c r="E55" s="152"/>
    </row>
    <row r="56" ht="15.75" customHeight="1">
      <c r="A56" s="146"/>
      <c r="B56" s="149"/>
      <c r="C56" s="150"/>
      <c r="D56" s="151"/>
      <c r="E56" s="152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49"/>
      <c r="C59" s="150"/>
      <c r="D59" s="151"/>
      <c r="E59" s="152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59"/>
      <c r="C62" s="160"/>
      <c r="D62" s="149"/>
      <c r="E62" s="161"/>
    </row>
    <row r="63" ht="15.75" customHeight="1">
      <c r="A63" s="162"/>
      <c r="B63" s="163"/>
      <c r="C63" s="163"/>
      <c r="D63" s="163"/>
      <c r="E63" s="152"/>
    </row>
    <row r="64" ht="15.75" customHeight="1">
      <c r="A64" s="164"/>
      <c r="B64" s="5"/>
      <c r="C64" s="130"/>
      <c r="D64" s="130"/>
      <c r="E64" s="165"/>
    </row>
    <row r="65" ht="15.75" customHeight="1">
      <c r="A65" s="164"/>
      <c r="B65" s="5"/>
      <c r="C65" s="130"/>
      <c r="D65" s="130"/>
      <c r="E65" s="165"/>
    </row>
    <row r="66" ht="15.75" customHeight="1">
      <c r="A66" s="164"/>
      <c r="B66" s="5"/>
      <c r="C66" s="130"/>
      <c r="D66" s="130"/>
      <c r="E66" s="165"/>
    </row>
    <row r="67" ht="15.75" customHeight="1">
      <c r="A67" s="164"/>
      <c r="B67" s="5"/>
      <c r="C67" s="130"/>
      <c r="D67" s="130"/>
      <c r="E67" s="165"/>
    </row>
    <row r="68" ht="15.75" customHeight="1">
      <c r="A68" s="164"/>
      <c r="B68" s="5"/>
      <c r="C68" s="130"/>
      <c r="D68" s="130"/>
      <c r="E68" s="165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6"/>
      <c r="B71" s="167"/>
      <c r="C71" s="168"/>
      <c r="D71" s="168"/>
      <c r="E71" s="169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3:D3"/>
    <mergeCell ref="A5:E5"/>
    <mergeCell ref="A6:C6"/>
    <mergeCell ref="D9:E9"/>
    <mergeCell ref="D10:E10"/>
    <mergeCell ref="D11:E11"/>
    <mergeCell ref="D12:E12"/>
    <mergeCell ref="D14:E14"/>
    <mergeCell ref="A19:E19"/>
    <mergeCell ref="A20:E20"/>
    <mergeCell ref="A23:C23"/>
    <mergeCell ref="D25:E25"/>
    <mergeCell ref="D26:E26"/>
    <mergeCell ref="D27:E27"/>
    <mergeCell ref="A34:C34"/>
    <mergeCell ref="D35:E35"/>
    <mergeCell ref="D36:E36"/>
    <mergeCell ref="D37:E37"/>
    <mergeCell ref="A41:E41"/>
    <mergeCell ref="A43:C43"/>
    <mergeCell ref="D45:E45"/>
    <mergeCell ref="D57:E57"/>
    <mergeCell ref="D58:E58"/>
    <mergeCell ref="D59:E59"/>
    <mergeCell ref="D60:E60"/>
    <mergeCell ref="D61:E61"/>
    <mergeCell ref="A63:E63"/>
    <mergeCell ref="D46:E46"/>
    <mergeCell ref="D47:E47"/>
    <mergeCell ref="A49:E49"/>
    <mergeCell ref="A50:E50"/>
    <mergeCell ref="A53:E53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4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674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677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678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679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681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687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688</v>
      </c>
      <c r="B11" s="64">
        <v>25.0</v>
      </c>
      <c r="C11" s="53" t="s">
        <v>112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691</v>
      </c>
      <c r="B12" s="64">
        <v>10.0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28</v>
      </c>
      <c r="B13" s="64">
        <v>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694</v>
      </c>
      <c r="B14" s="64">
        <v>1.0</v>
      </c>
      <c r="C14" s="53" t="s">
        <v>112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696</v>
      </c>
      <c r="B15" s="64">
        <v>3.0</v>
      </c>
      <c r="C15" s="53" t="s">
        <v>684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72" t="s">
        <v>699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72" t="s">
        <v>700</v>
      </c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79" t="s">
        <v>701</v>
      </c>
      <c r="B20" s="79"/>
      <c r="C20" s="79"/>
      <c r="D20" s="79"/>
      <c r="E20" s="79"/>
      <c r="F20" s="45"/>
      <c r="G20" s="45"/>
      <c r="H20" s="45"/>
      <c r="I20" s="45"/>
      <c r="J20" s="45"/>
      <c r="K20" s="45"/>
    </row>
    <row r="21" ht="15.75" customHeight="1">
      <c r="A21" s="79" t="s">
        <v>702</v>
      </c>
      <c r="B21" s="79"/>
      <c r="C21" s="79"/>
      <c r="D21" s="79"/>
      <c r="E21" s="79"/>
      <c r="F21" s="45"/>
      <c r="G21" s="45"/>
      <c r="H21" s="45"/>
      <c r="I21" s="45"/>
      <c r="J21" s="45"/>
      <c r="K21" s="45"/>
    </row>
    <row r="22" ht="15.75" customHeight="1">
      <c r="A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28" t="s">
        <v>704</v>
      </c>
      <c r="B23" s="28"/>
      <c r="C23" s="28"/>
      <c r="D23" s="45"/>
      <c r="E23" s="45"/>
      <c r="F23" s="45"/>
      <c r="G23" s="45"/>
      <c r="H23" s="45"/>
      <c r="I23" s="45"/>
      <c r="J23" s="45"/>
      <c r="K23" s="45"/>
    </row>
    <row r="24" ht="15.75" customHeight="1">
      <c r="A24" s="32" t="s">
        <v>12</v>
      </c>
      <c r="B24" s="34" t="s">
        <v>16</v>
      </c>
      <c r="C24" s="34" t="s">
        <v>20</v>
      </c>
      <c r="D24" s="41" t="s">
        <v>22</v>
      </c>
      <c r="E24" s="38"/>
      <c r="F24" s="45"/>
      <c r="G24" s="45"/>
      <c r="H24" s="45"/>
      <c r="I24" s="45"/>
      <c r="J24" s="45"/>
      <c r="K24" s="45"/>
    </row>
    <row r="25" ht="15.75" customHeight="1">
      <c r="A25" s="63" t="s">
        <v>708</v>
      </c>
      <c r="B25" s="97">
        <v>0.5</v>
      </c>
      <c r="C25" s="99" t="s">
        <v>58</v>
      </c>
      <c r="D25" s="55"/>
      <c r="E25" s="47"/>
      <c r="F25" s="45"/>
      <c r="G25" s="45"/>
      <c r="H25" s="45"/>
      <c r="I25" s="45"/>
      <c r="J25" s="45"/>
      <c r="K25" s="45"/>
    </row>
    <row r="26" ht="15.75" customHeight="1">
      <c r="A26" s="63" t="s">
        <v>709</v>
      </c>
      <c r="B26" s="97">
        <v>0.2</v>
      </c>
      <c r="C26" s="99" t="s">
        <v>60</v>
      </c>
      <c r="D26" s="55"/>
      <c r="E26" s="55"/>
      <c r="F26" s="45"/>
      <c r="G26" s="45"/>
      <c r="H26" s="45"/>
      <c r="I26" s="45"/>
      <c r="J26" s="45"/>
      <c r="K26" s="45"/>
    </row>
    <row r="27" ht="15.75" customHeight="1">
      <c r="A27" s="327"/>
      <c r="B27" s="97"/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66" t="s">
        <v>62</v>
      </c>
      <c r="B28" s="111">
        <v>0.5</v>
      </c>
      <c r="C28" s="113" t="s">
        <v>58</v>
      </c>
      <c r="D28" s="71"/>
      <c r="E28" s="71"/>
      <c r="F28" s="45"/>
      <c r="G28" s="45"/>
      <c r="H28" s="45"/>
      <c r="I28" s="45"/>
      <c r="J28" s="45"/>
      <c r="K28" s="45"/>
    </row>
    <row r="29" ht="15.75" customHeight="1">
      <c r="A29" s="66" t="s">
        <v>64</v>
      </c>
      <c r="B29" s="114"/>
      <c r="C29" s="115"/>
      <c r="D29" s="116"/>
      <c r="E29" s="116"/>
      <c r="F29" s="45"/>
      <c r="G29" s="45"/>
      <c r="H29" s="45"/>
      <c r="I29" s="45"/>
      <c r="J29" s="45"/>
      <c r="K29" s="45"/>
    </row>
    <row r="30" ht="15.75" customHeight="1">
      <c r="A30" s="79" t="s">
        <v>712</v>
      </c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79" t="s">
        <v>713</v>
      </c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79" t="s">
        <v>714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28" t="s">
        <v>716</v>
      </c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32" t="s">
        <v>12</v>
      </c>
      <c r="B35" s="34" t="s">
        <v>16</v>
      </c>
      <c r="C35" s="34" t="s">
        <v>20</v>
      </c>
      <c r="D35" s="41" t="s">
        <v>22</v>
      </c>
      <c r="E35" s="38"/>
      <c r="F35" s="45"/>
      <c r="G35" s="45"/>
      <c r="H35" s="45"/>
      <c r="I35" s="45"/>
      <c r="J35" s="45"/>
      <c r="K35" s="45"/>
    </row>
    <row r="36" ht="15.75" customHeight="1">
      <c r="A36" s="63" t="s">
        <v>719</v>
      </c>
      <c r="B36" s="97">
        <v>0.6</v>
      </c>
      <c r="C36" s="99" t="s">
        <v>60</v>
      </c>
      <c r="D36" s="55"/>
      <c r="E36" s="47"/>
      <c r="F36" s="45"/>
      <c r="G36" s="45"/>
      <c r="H36" s="45"/>
      <c r="I36" s="45"/>
      <c r="J36" s="45"/>
      <c r="K36" s="45"/>
    </row>
    <row r="37" ht="15.75" customHeight="1">
      <c r="A37" s="63" t="s">
        <v>720</v>
      </c>
      <c r="B37" s="97">
        <v>1.0</v>
      </c>
      <c r="C37" s="99" t="s">
        <v>58</v>
      </c>
      <c r="D37" s="55"/>
      <c r="E37" s="55"/>
      <c r="F37" s="45"/>
      <c r="G37" s="45"/>
      <c r="H37" s="45"/>
      <c r="I37" s="45"/>
      <c r="J37" s="45"/>
      <c r="K37" s="45"/>
    </row>
    <row r="38" ht="15.75" customHeight="1">
      <c r="A38" s="327"/>
      <c r="B38" s="97"/>
      <c r="C38" s="99"/>
      <c r="D38" s="55"/>
      <c r="E38" s="47"/>
      <c r="F38" s="45"/>
      <c r="G38" s="45"/>
      <c r="H38" s="45"/>
      <c r="I38" s="45"/>
      <c r="J38" s="45"/>
      <c r="K38" s="45"/>
    </row>
    <row r="39" ht="15.75" customHeight="1">
      <c r="A39" s="66" t="s">
        <v>62</v>
      </c>
      <c r="B39" s="111">
        <v>1.3</v>
      </c>
      <c r="C39" s="113" t="s">
        <v>58</v>
      </c>
      <c r="D39" s="71"/>
      <c r="E39" s="71"/>
      <c r="F39" s="45"/>
      <c r="G39" s="45"/>
      <c r="H39" s="45"/>
      <c r="I39" s="45"/>
      <c r="J39" s="45"/>
      <c r="K39" s="45"/>
    </row>
    <row r="40" ht="15.75" customHeight="1">
      <c r="A40" s="66" t="s">
        <v>64</v>
      </c>
      <c r="B40" s="114"/>
      <c r="C40" s="115"/>
      <c r="D40" s="116"/>
      <c r="E40" s="116"/>
      <c r="F40" s="45"/>
      <c r="G40" s="45"/>
      <c r="H40" s="45"/>
      <c r="I40" s="45"/>
      <c r="J40" s="45"/>
      <c r="K40" s="45"/>
    </row>
    <row r="41" ht="15.75" customHeight="1">
      <c r="A41" s="72" t="s">
        <v>721</v>
      </c>
      <c r="B41" s="72"/>
      <c r="C41" s="72"/>
      <c r="D41" s="72"/>
      <c r="E41" s="72"/>
      <c r="F41" s="45"/>
      <c r="G41" s="45"/>
      <c r="H41" s="45"/>
      <c r="I41" s="45"/>
      <c r="J41" s="45"/>
      <c r="K41" s="45"/>
    </row>
    <row r="42" ht="15.75" customHeight="1">
      <c r="A42" s="140" t="s">
        <v>722</v>
      </c>
      <c r="B42" s="141"/>
      <c r="C42" s="141"/>
      <c r="D42" s="141"/>
      <c r="E42" s="141"/>
      <c r="F42" s="45"/>
      <c r="G42" s="45"/>
      <c r="H42" s="45"/>
      <c r="I42" s="45"/>
      <c r="J42" s="45"/>
      <c r="K42" s="45"/>
    </row>
    <row r="43" ht="15.75" customHeight="1">
      <c r="A43" s="72" t="s">
        <v>672</v>
      </c>
      <c r="B43" s="72"/>
      <c r="C43" s="72"/>
      <c r="D43" s="72"/>
      <c r="E43" s="72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129"/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327"/>
      <c r="B47" s="64"/>
      <c r="C47" s="53"/>
      <c r="D47" s="55"/>
      <c r="E47" s="47"/>
    </row>
    <row r="48" ht="18.0" customHeight="1">
      <c r="A48" s="63"/>
      <c r="B48" s="64"/>
      <c r="C48" s="53"/>
      <c r="D48" s="55"/>
      <c r="E48" s="47"/>
    </row>
    <row r="49" ht="18.0" customHeight="1">
      <c r="A49" s="132" t="s">
        <v>62</v>
      </c>
      <c r="B49" s="133"/>
      <c r="C49" s="134"/>
      <c r="D49" s="135"/>
      <c r="E49" s="136"/>
    </row>
    <row r="50" ht="15.75" customHeight="1">
      <c r="A50" s="137" t="s">
        <v>64</v>
      </c>
      <c r="B50" s="138"/>
      <c r="C50" s="138"/>
      <c r="D50" s="138"/>
      <c r="E50" s="138"/>
      <c r="F50" s="139"/>
      <c r="G50" s="139"/>
      <c r="H50" s="139"/>
      <c r="I50" s="139"/>
      <c r="J50" s="139"/>
      <c r="K50" s="139"/>
    </row>
    <row r="51" ht="15.75" customHeight="1">
      <c r="A51" s="143"/>
      <c r="B51" s="141"/>
      <c r="C51" s="141"/>
      <c r="D51" s="141"/>
      <c r="E51" s="141"/>
      <c r="F51" s="139"/>
      <c r="G51" s="139"/>
      <c r="H51" s="139"/>
      <c r="I51" s="139"/>
      <c r="J51" s="139"/>
      <c r="K51" s="139"/>
    </row>
    <row r="52" ht="15.75" customHeight="1">
      <c r="A52" s="143"/>
      <c r="B52" s="143"/>
      <c r="C52" s="143"/>
      <c r="D52" s="143"/>
      <c r="E52" s="143"/>
      <c r="F52" s="139"/>
      <c r="G52" s="139"/>
      <c r="H52" s="139"/>
      <c r="I52" s="139"/>
      <c r="J52" s="139"/>
      <c r="K52" s="139"/>
    </row>
    <row r="53" ht="15.75" customHeight="1">
      <c r="A53" s="143"/>
      <c r="B53" s="143"/>
      <c r="C53" s="143"/>
      <c r="D53" s="143"/>
      <c r="E53" s="143"/>
      <c r="F53" s="139"/>
      <c r="G53" s="139"/>
      <c r="H53" s="139"/>
      <c r="I53" s="139"/>
      <c r="J53" s="139"/>
      <c r="K53" s="139"/>
    </row>
    <row r="54" ht="15.75" customHeight="1">
      <c r="A54" s="143"/>
      <c r="B54" s="141"/>
      <c r="C54" s="141"/>
      <c r="D54" s="141"/>
      <c r="E54" s="141"/>
      <c r="F54" s="139"/>
      <c r="G54" s="139"/>
      <c r="H54" s="139"/>
      <c r="I54" s="139"/>
      <c r="J54" s="139"/>
      <c r="K54" s="139"/>
    </row>
    <row r="55" ht="15.75" customHeight="1">
      <c r="A55" s="143"/>
      <c r="B55" s="143"/>
      <c r="C55" s="143"/>
      <c r="D55" s="143"/>
      <c r="E55" s="143"/>
      <c r="F55" s="139"/>
      <c r="G55" s="139"/>
      <c r="H55" s="139"/>
      <c r="I55" s="139"/>
      <c r="J55" s="139"/>
      <c r="K55" s="139"/>
    </row>
    <row r="56" ht="15.75" customHeight="1">
      <c r="A56" s="146"/>
      <c r="B56" s="149"/>
      <c r="C56" s="150"/>
      <c r="D56" s="151"/>
      <c r="E56" s="152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49"/>
      <c r="C59" s="150"/>
      <c r="D59" s="151"/>
      <c r="E59" s="152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59"/>
      <c r="C63" s="160"/>
      <c r="D63" s="149"/>
      <c r="E63" s="161"/>
    </row>
    <row r="64" ht="15.75" customHeight="1">
      <c r="A64" s="162"/>
      <c r="B64" s="163"/>
      <c r="C64" s="163"/>
      <c r="D64" s="163"/>
      <c r="E64" s="152"/>
    </row>
    <row r="65" ht="15.75" customHeight="1">
      <c r="A65" s="164"/>
      <c r="B65" s="5"/>
      <c r="C65" s="130"/>
      <c r="D65" s="130"/>
      <c r="E65" s="165"/>
    </row>
    <row r="66" ht="15.75" customHeight="1">
      <c r="A66" s="164"/>
      <c r="B66" s="5"/>
      <c r="C66" s="130"/>
      <c r="D66" s="130"/>
      <c r="E66" s="165"/>
    </row>
    <row r="67" ht="15.75" customHeight="1">
      <c r="A67" s="164"/>
      <c r="B67" s="5"/>
      <c r="C67" s="130"/>
      <c r="D67" s="130"/>
      <c r="E67" s="165"/>
    </row>
    <row r="68" ht="15.75" customHeight="1">
      <c r="A68" s="164"/>
      <c r="B68" s="5"/>
      <c r="C68" s="130"/>
      <c r="D68" s="130"/>
      <c r="E68" s="165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6"/>
      <c r="B72" s="167"/>
      <c r="C72" s="168"/>
      <c r="D72" s="168"/>
      <c r="E72" s="169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19:E19"/>
    <mergeCell ref="A22:C22"/>
    <mergeCell ref="D24:E24"/>
    <mergeCell ref="D25:E25"/>
    <mergeCell ref="A34:C34"/>
    <mergeCell ref="D35:E35"/>
    <mergeCell ref="D36:E36"/>
    <mergeCell ref="D38:E38"/>
    <mergeCell ref="A42:E42"/>
    <mergeCell ref="A44:C44"/>
    <mergeCell ref="D46:E46"/>
    <mergeCell ref="D47:E47"/>
    <mergeCell ref="D59:E59"/>
    <mergeCell ref="D60:E60"/>
    <mergeCell ref="D61:E61"/>
    <mergeCell ref="D62:E62"/>
    <mergeCell ref="A64:E64"/>
    <mergeCell ref="D48:E48"/>
    <mergeCell ref="A50:E50"/>
    <mergeCell ref="A51:E51"/>
    <mergeCell ref="A54:E54"/>
    <mergeCell ref="D56:E56"/>
    <mergeCell ref="D57:E57"/>
    <mergeCell ref="D58:E58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669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673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675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676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680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682</v>
      </c>
      <c r="B11" s="64">
        <v>40.0</v>
      </c>
      <c r="C11" s="53" t="s">
        <v>25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683</v>
      </c>
      <c r="B12" s="64">
        <v>2.0</v>
      </c>
      <c r="C12" s="53" t="s">
        <v>684</v>
      </c>
      <c r="D12" s="55"/>
      <c r="E12" s="55" t="s">
        <v>685</v>
      </c>
      <c r="F12" s="45"/>
      <c r="G12" s="45"/>
      <c r="H12" s="45"/>
      <c r="I12" s="45"/>
      <c r="J12" s="45"/>
      <c r="K12" s="45"/>
    </row>
    <row r="13">
      <c r="A13" s="63" t="s">
        <v>686</v>
      </c>
      <c r="B13" s="64">
        <v>20.0</v>
      </c>
      <c r="C13" s="53" t="s">
        <v>25</v>
      </c>
      <c r="D13" s="55"/>
      <c r="E13" s="55"/>
      <c r="F13" s="45"/>
      <c r="G13" s="45"/>
      <c r="H13" s="45"/>
      <c r="I13" s="45"/>
      <c r="J13" s="45"/>
      <c r="K13" s="45"/>
    </row>
    <row r="14">
      <c r="A14" s="63"/>
      <c r="B14" s="64"/>
      <c r="C14" s="53"/>
      <c r="D14" s="55"/>
      <c r="E14" s="55"/>
      <c r="F14" s="45"/>
      <c r="G14" s="45"/>
      <c r="H14" s="45"/>
      <c r="I14" s="45"/>
      <c r="J14" s="45"/>
      <c r="K14" s="45"/>
    </row>
    <row r="15">
      <c r="A15" s="63"/>
      <c r="B15" s="64"/>
      <c r="C15" s="53"/>
      <c r="D15" s="55"/>
      <c r="E15" s="55"/>
      <c r="F15" s="45"/>
      <c r="G15" s="45"/>
      <c r="H15" s="45"/>
      <c r="I15" s="45"/>
      <c r="J15" s="45"/>
      <c r="K15" s="45"/>
    </row>
    <row r="16">
      <c r="A16" s="66" t="s">
        <v>48</v>
      </c>
      <c r="B16" s="68"/>
      <c r="C16" s="68"/>
      <c r="D16" s="71"/>
      <c r="E16" s="71"/>
      <c r="F16" s="45"/>
      <c r="G16" s="45"/>
      <c r="H16" s="45"/>
      <c r="I16" s="45"/>
      <c r="J16" s="45"/>
      <c r="K16" s="45"/>
    </row>
    <row r="17">
      <c r="A17" s="72" t="s">
        <v>689</v>
      </c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72" t="s">
        <v>690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79" t="s">
        <v>692</v>
      </c>
      <c r="B19" s="79"/>
      <c r="C19" s="79"/>
      <c r="D19" s="79"/>
      <c r="E19" s="79"/>
      <c r="F19" s="45"/>
      <c r="G19" s="45"/>
      <c r="H19" s="45"/>
      <c r="I19" s="45"/>
      <c r="J19" s="45"/>
      <c r="K19" s="45"/>
    </row>
    <row r="20">
      <c r="A20" s="79" t="s">
        <v>693</v>
      </c>
      <c r="B20" s="79"/>
      <c r="C20" s="79"/>
      <c r="D20" s="79"/>
      <c r="E20" s="79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695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327" t="s">
        <v>697</v>
      </c>
      <c r="B24" s="97">
        <v>0.05</v>
      </c>
      <c r="C24" s="99" t="s">
        <v>60</v>
      </c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327" t="s">
        <v>698</v>
      </c>
      <c r="B25" s="97">
        <v>1.0</v>
      </c>
      <c r="C25" s="99" t="s">
        <v>58</v>
      </c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327"/>
      <c r="B26" s="97"/>
      <c r="C26" s="99"/>
      <c r="D26" s="55"/>
      <c r="E26" s="47"/>
      <c r="F26" s="45"/>
      <c r="G26" s="45"/>
      <c r="H26" s="45"/>
      <c r="I26" s="45"/>
      <c r="J26" s="45"/>
      <c r="K26" s="45"/>
    </row>
    <row r="27" ht="15.75" customHeight="1">
      <c r="A27" s="66" t="s">
        <v>62</v>
      </c>
      <c r="B27" s="111">
        <v>1.0</v>
      </c>
      <c r="C27" s="113" t="s">
        <v>58</v>
      </c>
      <c r="D27" s="71"/>
      <c r="E27" s="71"/>
      <c r="F27" s="45"/>
      <c r="G27" s="45"/>
      <c r="H27" s="45"/>
      <c r="I27" s="45"/>
      <c r="J27" s="45"/>
      <c r="K27" s="45"/>
    </row>
    <row r="28" ht="15.75" customHeight="1">
      <c r="A28" s="66" t="s">
        <v>64</v>
      </c>
      <c r="B28" s="114"/>
      <c r="C28" s="115"/>
      <c r="D28" s="116"/>
      <c r="E28" s="116"/>
      <c r="F28" s="45"/>
      <c r="G28" s="45"/>
      <c r="H28" s="45"/>
      <c r="I28" s="45"/>
      <c r="J28" s="45"/>
      <c r="K28" s="45"/>
    </row>
    <row r="29" ht="15.75" customHeight="1">
      <c r="A29" s="85" t="s">
        <v>703</v>
      </c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85" t="s">
        <v>705</v>
      </c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85" t="s">
        <v>706</v>
      </c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85" t="s">
        <v>707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28" t="s">
        <v>686</v>
      </c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32" t="s">
        <v>12</v>
      </c>
      <c r="B35" s="34" t="s">
        <v>16</v>
      </c>
      <c r="C35" s="34" t="s">
        <v>20</v>
      </c>
      <c r="D35" s="41" t="s">
        <v>22</v>
      </c>
      <c r="E35" s="38"/>
      <c r="F35" s="45"/>
      <c r="G35" s="45"/>
      <c r="H35" s="45"/>
      <c r="I35" s="45"/>
      <c r="J35" s="45"/>
      <c r="K35" s="45"/>
    </row>
    <row r="36" ht="15.75" customHeight="1">
      <c r="A36" s="327" t="s">
        <v>710</v>
      </c>
      <c r="B36" s="97">
        <v>0.6</v>
      </c>
      <c r="C36" s="99" t="s">
        <v>60</v>
      </c>
      <c r="D36" s="55"/>
      <c r="E36" s="47"/>
      <c r="F36" s="45"/>
      <c r="G36" s="45"/>
      <c r="H36" s="45"/>
      <c r="I36" s="45"/>
      <c r="J36" s="45"/>
      <c r="K36" s="45"/>
    </row>
    <row r="37" ht="15.75" customHeight="1">
      <c r="A37" s="327" t="s">
        <v>711</v>
      </c>
      <c r="B37" s="97">
        <v>0.6</v>
      </c>
      <c r="C37" s="99" t="s">
        <v>58</v>
      </c>
      <c r="D37" s="55"/>
      <c r="E37" s="55"/>
      <c r="F37" s="45"/>
      <c r="G37" s="45"/>
      <c r="H37" s="45"/>
      <c r="I37" s="45"/>
      <c r="J37" s="45"/>
      <c r="K37" s="45"/>
    </row>
    <row r="38" ht="15.75" customHeight="1">
      <c r="A38" s="327"/>
      <c r="B38" s="97"/>
      <c r="C38" s="99"/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1.1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715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717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5.75" customHeight="1">
      <c r="A44" s="128" t="s">
        <v>718</v>
      </c>
      <c r="B44" s="128"/>
      <c r="C44" s="128"/>
      <c r="D44" s="128"/>
      <c r="E44" s="128"/>
      <c r="F44" s="45"/>
      <c r="G44" s="45"/>
      <c r="H44" s="45"/>
      <c r="I44" s="45"/>
      <c r="J44" s="45"/>
      <c r="K44" s="45"/>
    </row>
    <row r="45" ht="18.0" customHeight="1">
      <c r="A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29"/>
      <c r="B46" s="129"/>
      <c r="C46" s="129"/>
      <c r="D46" s="130"/>
      <c r="E46" s="130"/>
      <c r="F46" s="130"/>
      <c r="G46" s="130"/>
      <c r="H46" s="130"/>
      <c r="I46" s="130"/>
      <c r="J46" s="130"/>
      <c r="K46" s="130"/>
    </row>
    <row r="47" ht="18.0" customHeight="1">
      <c r="A47" s="131" t="s">
        <v>12</v>
      </c>
      <c r="B47" s="31" t="s">
        <v>16</v>
      </c>
      <c r="C47" s="31" t="s">
        <v>20</v>
      </c>
      <c r="D47" s="41"/>
      <c r="E47" s="38"/>
    </row>
    <row r="48" ht="18.0" customHeight="1">
      <c r="A48" s="327"/>
      <c r="B48" s="64"/>
      <c r="C48" s="53"/>
      <c r="D48" s="55"/>
      <c r="E48" s="47"/>
    </row>
    <row r="49" ht="18.0" customHeight="1">
      <c r="A49" s="63"/>
      <c r="B49" s="64"/>
      <c r="C49" s="53"/>
      <c r="D49" s="55"/>
      <c r="E49" s="47"/>
    </row>
    <row r="50" ht="18.0" customHeight="1">
      <c r="A50" s="132" t="s">
        <v>62</v>
      </c>
      <c r="B50" s="133"/>
      <c r="C50" s="134"/>
      <c r="D50" s="135"/>
      <c r="E50" s="136"/>
    </row>
    <row r="51" ht="15.75" customHeight="1">
      <c r="A51" s="137" t="s">
        <v>64</v>
      </c>
      <c r="B51" s="138"/>
      <c r="C51" s="138"/>
      <c r="D51" s="138"/>
      <c r="E51" s="138"/>
      <c r="F51" s="139"/>
      <c r="G51" s="139"/>
      <c r="H51" s="139"/>
      <c r="I51" s="139"/>
      <c r="J51" s="139"/>
      <c r="K51" s="139"/>
    </row>
    <row r="52" ht="15.75" customHeight="1">
      <c r="A52" s="143"/>
      <c r="B52" s="141"/>
      <c r="C52" s="141"/>
      <c r="D52" s="141"/>
      <c r="E52" s="141"/>
      <c r="F52" s="139"/>
      <c r="G52" s="139"/>
      <c r="H52" s="139"/>
      <c r="I52" s="139"/>
      <c r="J52" s="139"/>
      <c r="K52" s="139"/>
    </row>
    <row r="53" ht="15.75" customHeight="1">
      <c r="A53" s="143"/>
      <c r="B53" s="143"/>
      <c r="C53" s="143"/>
      <c r="D53" s="143"/>
      <c r="E53" s="143"/>
      <c r="F53" s="139"/>
      <c r="G53" s="139"/>
      <c r="H53" s="139"/>
      <c r="I53" s="139"/>
      <c r="J53" s="139"/>
      <c r="K53" s="139"/>
    </row>
    <row r="54" ht="15.75" customHeight="1">
      <c r="A54" s="143"/>
      <c r="B54" s="143"/>
      <c r="C54" s="143"/>
      <c r="D54" s="143"/>
      <c r="E54" s="143"/>
      <c r="F54" s="139"/>
      <c r="G54" s="139"/>
      <c r="H54" s="139"/>
      <c r="I54" s="139"/>
      <c r="J54" s="139"/>
      <c r="K54" s="139"/>
    </row>
    <row r="55" ht="15.75" customHeight="1">
      <c r="A55" s="143"/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/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49"/>
      <c r="C59" s="150"/>
      <c r="D59" s="151"/>
      <c r="E59" s="152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59"/>
      <c r="C64" s="160"/>
      <c r="D64" s="149"/>
      <c r="E64" s="161"/>
    </row>
    <row r="65" ht="15.75" customHeight="1">
      <c r="A65" s="162"/>
      <c r="B65" s="163"/>
      <c r="C65" s="163"/>
      <c r="D65" s="163"/>
      <c r="E65" s="152"/>
    </row>
    <row r="66" ht="15.75" customHeight="1">
      <c r="A66" s="164"/>
      <c r="B66" s="5"/>
      <c r="C66" s="130"/>
      <c r="D66" s="130"/>
      <c r="E66" s="165"/>
    </row>
    <row r="67" ht="15.75" customHeight="1">
      <c r="A67" s="164"/>
      <c r="B67" s="5"/>
      <c r="C67" s="130"/>
      <c r="D67" s="130"/>
      <c r="E67" s="165"/>
    </row>
    <row r="68" ht="15.75" customHeight="1">
      <c r="A68" s="164"/>
      <c r="B68" s="5"/>
      <c r="C68" s="130"/>
      <c r="D68" s="130"/>
      <c r="E68" s="165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6"/>
      <c r="B73" s="167"/>
      <c r="C73" s="168"/>
      <c r="D73" s="168"/>
      <c r="E73" s="169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3:D3"/>
    <mergeCell ref="A5:E5"/>
    <mergeCell ref="A6:C6"/>
    <mergeCell ref="D9:E9"/>
    <mergeCell ref="D10:E10"/>
    <mergeCell ref="D11:E11"/>
    <mergeCell ref="A17:E17"/>
    <mergeCell ref="A18:E18"/>
    <mergeCell ref="A21:C21"/>
    <mergeCell ref="D23:E23"/>
    <mergeCell ref="D24:E24"/>
    <mergeCell ref="D26:E26"/>
    <mergeCell ref="A34:C34"/>
    <mergeCell ref="D35:E35"/>
    <mergeCell ref="D36:E36"/>
    <mergeCell ref="D39:E39"/>
    <mergeCell ref="A43:E43"/>
    <mergeCell ref="A45:C45"/>
    <mergeCell ref="D47:E47"/>
    <mergeCell ref="D48:E48"/>
    <mergeCell ref="D49:E49"/>
    <mergeCell ref="D61:E61"/>
    <mergeCell ref="D62:E62"/>
    <mergeCell ref="D63:E63"/>
    <mergeCell ref="A65:E65"/>
    <mergeCell ref="A51:E51"/>
    <mergeCell ref="A52:E52"/>
    <mergeCell ref="A55:E55"/>
    <mergeCell ref="D57:E57"/>
    <mergeCell ref="D58:E58"/>
    <mergeCell ref="D59:E59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723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724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725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278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726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727</v>
      </c>
      <c r="B11" s="64">
        <v>50.0</v>
      </c>
      <c r="C11" s="53" t="s">
        <v>25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728</v>
      </c>
      <c r="B12" s="64">
        <v>15.0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729</v>
      </c>
      <c r="B13" s="64">
        <v>10.0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730</v>
      </c>
      <c r="B14" s="64">
        <v>60.0</v>
      </c>
      <c r="C14" s="53" t="s">
        <v>112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731</v>
      </c>
      <c r="B15" s="64">
        <v>10.0</v>
      </c>
      <c r="C15" s="53" t="s">
        <v>25</v>
      </c>
      <c r="D15" s="348" t="s">
        <v>732</v>
      </c>
      <c r="E15" s="141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72" t="s">
        <v>733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72" t="s">
        <v>734</v>
      </c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349" t="s">
        <v>735</v>
      </c>
      <c r="D20" s="130"/>
      <c r="E20" s="130"/>
      <c r="F20" s="45"/>
      <c r="G20" s="45"/>
      <c r="H20" s="45"/>
      <c r="I20" s="45"/>
      <c r="J20" s="45"/>
      <c r="K20" s="45"/>
    </row>
    <row r="21" ht="15.75" customHeight="1">
      <c r="A21" s="350"/>
      <c r="B21" s="28"/>
      <c r="C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727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736</v>
      </c>
      <c r="B24" s="97">
        <v>0.25</v>
      </c>
      <c r="C24" s="99" t="s">
        <v>58</v>
      </c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737</v>
      </c>
      <c r="B25" s="97">
        <v>0.5</v>
      </c>
      <c r="C25" s="99" t="s">
        <v>58</v>
      </c>
      <c r="D25" s="55"/>
      <c r="E25" s="47"/>
      <c r="F25" s="45"/>
      <c r="G25" s="45"/>
      <c r="H25" s="45"/>
      <c r="I25" s="45"/>
      <c r="J25" s="45"/>
      <c r="K25" s="45"/>
    </row>
    <row r="26" ht="15.75" customHeight="1">
      <c r="A26" s="66" t="s">
        <v>62</v>
      </c>
      <c r="B26" s="111">
        <v>0.75</v>
      </c>
      <c r="C26" s="113" t="s">
        <v>58</v>
      </c>
      <c r="D26" s="71"/>
      <c r="E26" s="71"/>
      <c r="F26" s="45"/>
      <c r="G26" s="45"/>
      <c r="H26" s="45"/>
      <c r="I26" s="45"/>
      <c r="J26" s="45"/>
      <c r="K26" s="45"/>
    </row>
    <row r="27" ht="15.75" customHeight="1">
      <c r="A27" s="66" t="s">
        <v>64</v>
      </c>
      <c r="B27" s="114"/>
      <c r="C27" s="115"/>
      <c r="D27" s="116"/>
      <c r="E27" s="116"/>
      <c r="F27" s="45"/>
      <c r="G27" s="45"/>
      <c r="H27" s="45"/>
      <c r="I27" s="45"/>
      <c r="J27" s="45"/>
      <c r="K27" s="45"/>
    </row>
    <row r="28" ht="15.75" customHeight="1">
      <c r="A28" s="79" t="s">
        <v>738</v>
      </c>
      <c r="B28" s="118"/>
      <c r="C28" s="120"/>
      <c r="D28" s="121"/>
      <c r="E28" s="121"/>
      <c r="F28" s="45"/>
      <c r="G28" s="45"/>
      <c r="H28" s="45"/>
      <c r="I28" s="45"/>
      <c r="J28" s="45"/>
      <c r="K28" s="45"/>
    </row>
    <row r="29" ht="15.75" customHeight="1">
      <c r="A29" s="79" t="s">
        <v>739</v>
      </c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85"/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28" t="s">
        <v>729</v>
      </c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32" t="s">
        <v>12</v>
      </c>
      <c r="B32" s="34" t="s">
        <v>16</v>
      </c>
      <c r="C32" s="34" t="s">
        <v>20</v>
      </c>
      <c r="D32" s="41" t="s">
        <v>22</v>
      </c>
      <c r="E32" s="38"/>
      <c r="F32" s="45"/>
      <c r="G32" s="45"/>
      <c r="H32" s="45"/>
      <c r="I32" s="45"/>
      <c r="J32" s="45"/>
      <c r="K32" s="45"/>
    </row>
    <row r="33" ht="15.75" customHeight="1">
      <c r="A33" s="63" t="s">
        <v>741</v>
      </c>
      <c r="B33" s="97">
        <v>0.2</v>
      </c>
      <c r="C33" s="99" t="s">
        <v>60</v>
      </c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3" t="s">
        <v>742</v>
      </c>
      <c r="B34" s="97">
        <v>1.0</v>
      </c>
      <c r="C34" s="99" t="s">
        <v>58</v>
      </c>
      <c r="D34" s="55"/>
      <c r="E34" s="47"/>
      <c r="F34" s="45"/>
      <c r="G34" s="45"/>
      <c r="H34" s="45"/>
      <c r="I34" s="45"/>
      <c r="J34" s="45"/>
      <c r="K34" s="45"/>
    </row>
    <row r="35" ht="15.75" customHeight="1">
      <c r="A35" s="66" t="s">
        <v>62</v>
      </c>
      <c r="B35" s="111">
        <v>1.0</v>
      </c>
      <c r="C35" s="113" t="s">
        <v>58</v>
      </c>
      <c r="D35" s="71"/>
      <c r="E35" s="71"/>
      <c r="F35" s="45"/>
      <c r="G35" s="45"/>
      <c r="H35" s="45"/>
      <c r="I35" s="45"/>
      <c r="J35" s="45"/>
      <c r="K35" s="45"/>
    </row>
    <row r="36" ht="15.75" customHeight="1">
      <c r="A36" s="66" t="s">
        <v>64</v>
      </c>
      <c r="B36" s="114"/>
      <c r="C36" s="115"/>
      <c r="D36" s="116"/>
      <c r="E36" s="116"/>
      <c r="F36" s="45"/>
      <c r="G36" s="45"/>
      <c r="H36" s="45"/>
      <c r="I36" s="45"/>
      <c r="J36" s="45"/>
      <c r="K36" s="45"/>
    </row>
    <row r="37" ht="15.75" customHeight="1">
      <c r="A37" s="72" t="s">
        <v>744</v>
      </c>
      <c r="B37" s="72"/>
      <c r="C37" s="72"/>
      <c r="D37" s="72"/>
      <c r="E37" s="72"/>
      <c r="F37" s="45"/>
      <c r="G37" s="45"/>
      <c r="H37" s="45"/>
      <c r="I37" s="45"/>
      <c r="J37" s="45"/>
      <c r="K37" s="45"/>
    </row>
    <row r="38" ht="15.75" customHeight="1">
      <c r="A38" s="140" t="s">
        <v>746</v>
      </c>
      <c r="B38" s="141"/>
      <c r="C38" s="141"/>
      <c r="D38" s="141"/>
      <c r="E38" s="141"/>
      <c r="F38" s="45"/>
      <c r="G38" s="45"/>
      <c r="H38" s="45"/>
      <c r="I38" s="45"/>
      <c r="J38" s="45"/>
      <c r="K38" s="45"/>
    </row>
    <row r="39" ht="15.75" customHeight="1">
      <c r="A39" s="72" t="s">
        <v>747</v>
      </c>
      <c r="B39" s="72"/>
      <c r="C39" s="72"/>
      <c r="D39" s="72"/>
      <c r="E39" s="72"/>
      <c r="F39" s="45"/>
      <c r="G39" s="45"/>
      <c r="H39" s="45"/>
      <c r="I39" s="45"/>
      <c r="J39" s="45"/>
      <c r="K39" s="45"/>
    </row>
    <row r="40" ht="15.75" customHeight="1">
      <c r="A40" s="79" t="s">
        <v>748</v>
      </c>
      <c r="B40" s="79"/>
      <c r="C40" s="79"/>
      <c r="D40" s="79"/>
      <c r="E40" s="79"/>
      <c r="F40" s="45"/>
      <c r="G40" s="45"/>
      <c r="H40" s="45"/>
      <c r="I40" s="45"/>
      <c r="J40" s="45"/>
      <c r="K40" s="45"/>
    </row>
    <row r="41" ht="18.0" customHeight="1">
      <c r="A41" s="349" t="s">
        <v>749</v>
      </c>
      <c r="D41" s="130"/>
      <c r="E41" s="130"/>
      <c r="F41" s="130"/>
      <c r="G41" s="130"/>
      <c r="H41" s="130"/>
      <c r="I41" s="130"/>
      <c r="J41" s="130"/>
      <c r="K41" s="130"/>
    </row>
    <row r="42" ht="18.0" customHeight="1">
      <c r="A42" s="350"/>
      <c r="B42" s="129"/>
      <c r="C42" s="129"/>
      <c r="D42" s="130"/>
      <c r="E42" s="130"/>
      <c r="F42" s="130"/>
      <c r="G42" s="130"/>
      <c r="H42" s="130"/>
      <c r="I42" s="130"/>
      <c r="J42" s="130"/>
      <c r="K42" s="130"/>
    </row>
    <row r="43" ht="18.0" customHeight="1">
      <c r="A43" s="129" t="s">
        <v>751</v>
      </c>
      <c r="B43" s="129"/>
      <c r="C43" s="129"/>
      <c r="D43" s="130"/>
      <c r="E43" s="130"/>
      <c r="F43" s="130"/>
      <c r="G43" s="130"/>
      <c r="H43" s="130"/>
      <c r="I43" s="130"/>
      <c r="J43" s="130"/>
      <c r="K43" s="130"/>
    </row>
    <row r="44" ht="18.0" customHeight="1">
      <c r="A44" s="131" t="s">
        <v>12</v>
      </c>
      <c r="B44" s="31" t="s">
        <v>16</v>
      </c>
      <c r="C44" s="31" t="s">
        <v>20</v>
      </c>
      <c r="D44" s="41"/>
      <c r="E44" s="38"/>
    </row>
    <row r="45" ht="18.0" customHeight="1">
      <c r="A45" s="63" t="s">
        <v>753</v>
      </c>
      <c r="B45" s="64">
        <v>0.6</v>
      </c>
      <c r="C45" s="53" t="s">
        <v>58</v>
      </c>
      <c r="D45" s="55"/>
      <c r="E45" s="47"/>
    </row>
    <row r="46" ht="18.0" customHeight="1">
      <c r="A46" s="63" t="s">
        <v>754</v>
      </c>
      <c r="B46" s="64">
        <v>0.4</v>
      </c>
      <c r="C46" s="53" t="s">
        <v>58</v>
      </c>
      <c r="D46" s="55"/>
      <c r="E46" s="55"/>
    </row>
    <row r="47" ht="18.0" customHeight="1">
      <c r="A47" s="63"/>
      <c r="B47" s="64"/>
      <c r="C47" s="53"/>
      <c r="D47" s="55"/>
      <c r="E47" s="47"/>
    </row>
    <row r="48" ht="18.0" customHeight="1">
      <c r="A48" s="132" t="s">
        <v>62</v>
      </c>
      <c r="B48" s="133">
        <v>1.0</v>
      </c>
      <c r="C48" s="134" t="s">
        <v>58</v>
      </c>
      <c r="D48" s="135"/>
      <c r="E48" s="136"/>
    </row>
    <row r="49" ht="15.75" customHeight="1">
      <c r="A49" s="137" t="s">
        <v>64</v>
      </c>
      <c r="B49" s="138"/>
      <c r="C49" s="138"/>
      <c r="D49" s="138"/>
      <c r="E49" s="138"/>
      <c r="F49" s="139"/>
      <c r="G49" s="139"/>
      <c r="H49" s="139"/>
      <c r="I49" s="139"/>
      <c r="J49" s="139"/>
      <c r="K49" s="139"/>
    </row>
    <row r="50" ht="15.75" customHeight="1">
      <c r="A50" s="143" t="s">
        <v>764</v>
      </c>
      <c r="B50" s="141"/>
      <c r="C50" s="141"/>
      <c r="D50" s="141"/>
      <c r="E50" s="141"/>
      <c r="F50" s="139"/>
      <c r="G50" s="139"/>
      <c r="H50" s="139"/>
      <c r="I50" s="139"/>
      <c r="J50" s="139"/>
      <c r="K50" s="139"/>
    </row>
    <row r="51" ht="15.75" customHeight="1">
      <c r="A51" s="143" t="s">
        <v>739</v>
      </c>
      <c r="B51" s="143"/>
      <c r="C51" s="143"/>
      <c r="D51" s="143"/>
      <c r="E51" s="143"/>
      <c r="F51" s="139"/>
      <c r="G51" s="139"/>
      <c r="H51" s="139"/>
      <c r="I51" s="139"/>
      <c r="J51" s="139"/>
      <c r="K51" s="139"/>
    </row>
    <row r="52" ht="15.75" customHeight="1">
      <c r="A52" s="143"/>
      <c r="B52" s="143"/>
      <c r="C52" s="143"/>
      <c r="D52" s="143"/>
      <c r="E52" s="143"/>
      <c r="F52" s="139"/>
      <c r="G52" s="139"/>
      <c r="H52" s="139"/>
      <c r="I52" s="139"/>
      <c r="J52" s="139"/>
      <c r="K52" s="139"/>
    </row>
    <row r="53" ht="15.75" customHeight="1">
      <c r="A53" s="143"/>
      <c r="B53" s="141"/>
      <c r="C53" s="141"/>
      <c r="D53" s="141"/>
      <c r="E53" s="141"/>
      <c r="F53" s="139"/>
      <c r="G53" s="139"/>
      <c r="H53" s="139"/>
      <c r="I53" s="139"/>
      <c r="J53" s="139"/>
      <c r="K53" s="139"/>
    </row>
    <row r="54" ht="15.75" customHeight="1">
      <c r="A54" s="143"/>
      <c r="B54" s="143"/>
      <c r="C54" s="143"/>
      <c r="D54" s="143"/>
      <c r="E54" s="143"/>
      <c r="F54" s="139"/>
      <c r="G54" s="139"/>
      <c r="H54" s="139"/>
      <c r="I54" s="139"/>
      <c r="J54" s="139"/>
      <c r="K54" s="139"/>
    </row>
    <row r="55" ht="15.75" customHeight="1">
      <c r="A55" s="146"/>
      <c r="B55" s="149"/>
      <c r="C55" s="150"/>
      <c r="D55" s="151"/>
      <c r="E55" s="152"/>
    </row>
    <row r="56" ht="15.75" customHeight="1">
      <c r="A56" s="146"/>
      <c r="B56" s="149"/>
      <c r="C56" s="150"/>
      <c r="D56" s="151"/>
      <c r="E56" s="152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49"/>
      <c r="C59" s="150"/>
      <c r="D59" s="151"/>
      <c r="E59" s="152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59"/>
      <c r="C62" s="160"/>
      <c r="D62" s="149"/>
      <c r="E62" s="161"/>
    </row>
    <row r="63" ht="15.75" customHeight="1">
      <c r="A63" s="162"/>
      <c r="B63" s="163"/>
      <c r="C63" s="163"/>
      <c r="D63" s="163"/>
      <c r="E63" s="152"/>
    </row>
    <row r="64" ht="15.75" customHeight="1">
      <c r="A64" s="164"/>
      <c r="B64" s="5"/>
      <c r="C64" s="130"/>
      <c r="D64" s="130"/>
      <c r="E64" s="165"/>
    </row>
    <row r="65" ht="15.75" customHeight="1">
      <c r="A65" s="164"/>
      <c r="B65" s="5"/>
      <c r="C65" s="130"/>
      <c r="D65" s="130"/>
      <c r="E65" s="165"/>
    </row>
    <row r="66" ht="15.75" customHeight="1">
      <c r="A66" s="164"/>
      <c r="B66" s="5"/>
      <c r="C66" s="130"/>
      <c r="D66" s="130"/>
      <c r="E66" s="165"/>
    </row>
    <row r="67" ht="15.75" customHeight="1">
      <c r="A67" s="164"/>
      <c r="B67" s="5"/>
      <c r="C67" s="130"/>
      <c r="D67" s="130"/>
      <c r="E67" s="165"/>
    </row>
    <row r="68" ht="15.75" customHeight="1">
      <c r="A68" s="164"/>
      <c r="B68" s="5"/>
      <c r="C68" s="130"/>
      <c r="D68" s="130"/>
      <c r="E68" s="165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6"/>
      <c r="B71" s="167"/>
      <c r="C71" s="168"/>
      <c r="D71" s="168"/>
      <c r="E71" s="169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D15:E15"/>
    <mergeCell ref="A18:E18"/>
    <mergeCell ref="A19:E19"/>
    <mergeCell ref="A20:C20"/>
    <mergeCell ref="D23:E23"/>
    <mergeCell ref="D24:E24"/>
    <mergeCell ref="D25:E25"/>
    <mergeCell ref="A31:C31"/>
    <mergeCell ref="D32:E32"/>
    <mergeCell ref="D33:E33"/>
    <mergeCell ref="D34:E34"/>
    <mergeCell ref="A38:E38"/>
    <mergeCell ref="A41:C41"/>
    <mergeCell ref="D56:E56"/>
    <mergeCell ref="D57:E57"/>
    <mergeCell ref="D58:E58"/>
    <mergeCell ref="D59:E59"/>
    <mergeCell ref="D60:E60"/>
    <mergeCell ref="D61:E61"/>
    <mergeCell ref="A63:E63"/>
    <mergeCell ref="D44:E44"/>
    <mergeCell ref="D45:E45"/>
    <mergeCell ref="D47:E47"/>
    <mergeCell ref="A49:E49"/>
    <mergeCell ref="A50:E50"/>
    <mergeCell ref="A53:E53"/>
    <mergeCell ref="D55:E55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740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743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176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745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518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750</v>
      </c>
      <c r="B11" s="64">
        <v>30.0</v>
      </c>
      <c r="C11" s="53" t="s">
        <v>112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28</v>
      </c>
      <c r="B12" s="64">
        <v>20.0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752</v>
      </c>
      <c r="B13" s="64">
        <v>65.0</v>
      </c>
      <c r="C13" s="53" t="s">
        <v>112</v>
      </c>
      <c r="D13" s="55"/>
      <c r="E13" s="61"/>
      <c r="F13" s="45"/>
      <c r="G13" s="45"/>
      <c r="H13" s="45"/>
      <c r="I13" s="45"/>
      <c r="J13" s="45"/>
      <c r="K13" s="45"/>
    </row>
    <row r="14">
      <c r="A14" s="63"/>
      <c r="B14" s="64"/>
      <c r="C14" s="53"/>
      <c r="D14" s="55"/>
      <c r="E14" s="55"/>
      <c r="F14" s="45"/>
      <c r="G14" s="45"/>
      <c r="H14" s="45"/>
      <c r="I14" s="45"/>
      <c r="J14" s="45"/>
      <c r="K14" s="45"/>
    </row>
    <row r="15">
      <c r="A15" s="66" t="s">
        <v>48</v>
      </c>
      <c r="B15" s="68"/>
      <c r="C15" s="68"/>
      <c r="D15" s="71"/>
      <c r="E15" s="71"/>
      <c r="F15" s="45"/>
      <c r="G15" s="45"/>
      <c r="H15" s="45"/>
      <c r="I15" s="45"/>
      <c r="J15" s="45"/>
      <c r="K15" s="45"/>
    </row>
    <row r="16">
      <c r="A16" s="128" t="s">
        <v>756</v>
      </c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 t="s">
        <v>757</v>
      </c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85" t="s">
        <v>759</v>
      </c>
      <c r="B18" s="85"/>
      <c r="C18" s="85"/>
      <c r="D18" s="85"/>
      <c r="E18" s="85"/>
      <c r="F18" s="45"/>
      <c r="G18" s="45"/>
      <c r="H18" s="45"/>
      <c r="I18" s="45"/>
      <c r="J18" s="45"/>
      <c r="K18" s="45"/>
    </row>
    <row r="19">
      <c r="A19" s="350" t="s">
        <v>760</v>
      </c>
      <c r="D19" s="45"/>
      <c r="E19" s="45" t="s">
        <v>762</v>
      </c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28" t="s">
        <v>750</v>
      </c>
      <c r="B21" s="28"/>
      <c r="C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32" t="s">
        <v>12</v>
      </c>
      <c r="B22" s="34" t="s">
        <v>16</v>
      </c>
      <c r="C22" s="34" t="s">
        <v>20</v>
      </c>
      <c r="D22" s="41" t="s">
        <v>22</v>
      </c>
      <c r="E22" s="38"/>
      <c r="F22" s="45"/>
      <c r="G22" s="45"/>
      <c r="H22" s="45"/>
      <c r="I22" s="45"/>
      <c r="J22" s="45"/>
      <c r="K22" s="45"/>
    </row>
    <row r="23" ht="15.75" customHeight="1">
      <c r="A23" s="327" t="s">
        <v>765</v>
      </c>
      <c r="B23" s="97">
        <v>1.0</v>
      </c>
      <c r="C23" s="99" t="s">
        <v>112</v>
      </c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327" t="s">
        <v>767</v>
      </c>
      <c r="B24" s="97">
        <v>0.2</v>
      </c>
      <c r="C24" s="99" t="s">
        <v>58</v>
      </c>
      <c r="D24" s="55"/>
      <c r="E24" s="55"/>
      <c r="F24" s="45"/>
      <c r="G24" s="45"/>
      <c r="H24" s="45"/>
      <c r="I24" s="45"/>
      <c r="J24" s="45"/>
      <c r="K24" s="45"/>
    </row>
    <row r="25" ht="15.75" customHeight="1">
      <c r="A25" s="327" t="s">
        <v>768</v>
      </c>
      <c r="B25" s="97">
        <v>0.6</v>
      </c>
      <c r="C25" s="99" t="s">
        <v>112</v>
      </c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327" t="s">
        <v>769</v>
      </c>
      <c r="B26" s="97">
        <v>0.04</v>
      </c>
      <c r="C26" s="99" t="s">
        <v>112</v>
      </c>
      <c r="D26" s="348" t="s">
        <v>770</v>
      </c>
      <c r="E26" s="141"/>
      <c r="F26" s="45"/>
      <c r="G26" s="45"/>
      <c r="H26" s="45"/>
      <c r="I26" s="45"/>
      <c r="J26" s="45"/>
      <c r="K26" s="45"/>
    </row>
    <row r="27" ht="15.75" customHeight="1">
      <c r="A27" s="327"/>
      <c r="B27" s="97"/>
      <c r="C27" s="99"/>
      <c r="D27" s="55"/>
      <c r="E27" s="47"/>
      <c r="F27" s="45"/>
      <c r="G27" s="45"/>
      <c r="H27" s="45"/>
      <c r="I27" s="45"/>
      <c r="J27" s="45"/>
      <c r="K27" s="45"/>
    </row>
    <row r="28" ht="15.75" customHeight="1">
      <c r="A28" s="66" t="s">
        <v>62</v>
      </c>
      <c r="B28" s="111">
        <v>1.5</v>
      </c>
      <c r="C28" s="113" t="s">
        <v>60</v>
      </c>
      <c r="D28" s="71"/>
      <c r="E28" s="71"/>
      <c r="F28" s="45"/>
      <c r="G28" s="45"/>
      <c r="H28" s="45"/>
      <c r="I28" s="45"/>
      <c r="J28" s="45"/>
      <c r="K28" s="45"/>
    </row>
    <row r="29" ht="15.75" customHeight="1">
      <c r="A29" s="66" t="s">
        <v>64</v>
      </c>
      <c r="B29" s="114"/>
      <c r="C29" s="115"/>
      <c r="D29" s="116"/>
      <c r="E29" s="116"/>
      <c r="F29" s="45"/>
      <c r="G29" s="45"/>
      <c r="H29" s="45"/>
      <c r="I29" s="45"/>
      <c r="J29" s="45"/>
      <c r="K29" s="45"/>
    </row>
    <row r="30" ht="15.75" customHeight="1">
      <c r="A30" s="85" t="s">
        <v>773</v>
      </c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85" t="s">
        <v>776</v>
      </c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85" t="s">
        <v>778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 t="s">
        <v>779</v>
      </c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 t="s">
        <v>783</v>
      </c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85" t="s">
        <v>784</v>
      </c>
      <c r="B35" s="118"/>
      <c r="C35" s="120"/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85"/>
      <c r="B36" s="118"/>
      <c r="C36" s="120"/>
      <c r="D36" s="121"/>
      <c r="E36" s="121"/>
      <c r="F36" s="45"/>
      <c r="G36" s="45"/>
      <c r="H36" s="45"/>
      <c r="I36" s="45"/>
      <c r="J36" s="45"/>
      <c r="K36" s="45"/>
    </row>
    <row r="37" ht="15.75" customHeight="1">
      <c r="A37" s="28" t="s">
        <v>752</v>
      </c>
      <c r="D37" s="121"/>
      <c r="E37" s="121"/>
      <c r="F37" s="45"/>
      <c r="G37" s="45"/>
      <c r="H37" s="45"/>
      <c r="I37" s="45"/>
      <c r="J37" s="45"/>
      <c r="K37" s="45"/>
    </row>
    <row r="38" ht="15.75" customHeight="1">
      <c r="A38" s="32" t="s">
        <v>12</v>
      </c>
      <c r="B38" s="34" t="s">
        <v>16</v>
      </c>
      <c r="C38" s="34" t="s">
        <v>20</v>
      </c>
      <c r="D38" s="41" t="s">
        <v>22</v>
      </c>
      <c r="E38" s="38"/>
      <c r="F38" s="45"/>
      <c r="G38" s="45"/>
      <c r="H38" s="45"/>
      <c r="I38" s="45"/>
      <c r="J38" s="45"/>
      <c r="K38" s="45"/>
    </row>
    <row r="39" ht="15.75" customHeight="1">
      <c r="A39" s="327" t="s">
        <v>786</v>
      </c>
      <c r="B39" s="97">
        <v>0.8</v>
      </c>
      <c r="C39" s="99" t="s">
        <v>60</v>
      </c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327" t="s">
        <v>767</v>
      </c>
      <c r="B40" s="97">
        <v>4.0</v>
      </c>
      <c r="C40" s="99" t="s">
        <v>58</v>
      </c>
      <c r="D40" s="55"/>
      <c r="E40" s="55"/>
      <c r="F40" s="45"/>
      <c r="G40" s="45"/>
      <c r="H40" s="45"/>
      <c r="I40" s="45"/>
      <c r="J40" s="45"/>
      <c r="K40" s="45"/>
    </row>
    <row r="41" ht="15.75" customHeight="1">
      <c r="A41" s="327" t="s">
        <v>788</v>
      </c>
      <c r="B41" s="97">
        <v>1.0</v>
      </c>
      <c r="C41" s="99" t="s">
        <v>58</v>
      </c>
      <c r="D41" s="55"/>
      <c r="E41" s="55"/>
      <c r="F41" s="45"/>
      <c r="G41" s="45"/>
      <c r="H41" s="45"/>
      <c r="I41" s="45"/>
      <c r="J41" s="45"/>
      <c r="K41" s="45"/>
    </row>
    <row r="42" ht="15.75" customHeight="1">
      <c r="A42" s="327" t="s">
        <v>790</v>
      </c>
      <c r="B42" s="97">
        <v>26.0</v>
      </c>
      <c r="C42" s="99" t="s">
        <v>20</v>
      </c>
      <c r="D42" s="348"/>
      <c r="E42" s="141"/>
      <c r="F42" s="45"/>
      <c r="G42" s="45"/>
      <c r="H42" s="45"/>
      <c r="I42" s="45"/>
      <c r="J42" s="45"/>
      <c r="K42" s="45"/>
    </row>
    <row r="43" ht="15.75" customHeight="1">
      <c r="A43" s="327" t="s">
        <v>792</v>
      </c>
      <c r="B43" s="97">
        <v>3.0</v>
      </c>
      <c r="C43" s="99" t="s">
        <v>60</v>
      </c>
      <c r="D43" s="55"/>
      <c r="E43" s="55"/>
      <c r="F43" s="45"/>
      <c r="G43" s="45"/>
      <c r="H43" s="45"/>
      <c r="I43" s="45"/>
      <c r="J43" s="45"/>
      <c r="K43" s="45"/>
    </row>
    <row r="44" ht="15.75" customHeight="1">
      <c r="A44" s="327"/>
      <c r="B44" s="97"/>
      <c r="C44" s="99"/>
      <c r="D44" s="55"/>
      <c r="E44" s="47"/>
      <c r="F44" s="45"/>
      <c r="G44" s="45"/>
      <c r="H44" s="45"/>
      <c r="I44" s="45"/>
      <c r="J44" s="45"/>
      <c r="K44" s="45"/>
    </row>
    <row r="45" ht="15.75" customHeight="1">
      <c r="A45" s="66" t="s">
        <v>62</v>
      </c>
      <c r="B45" s="111">
        <v>6.6</v>
      </c>
      <c r="C45" s="113" t="s">
        <v>58</v>
      </c>
      <c r="D45" s="71"/>
      <c r="E45" s="71"/>
      <c r="F45" s="45"/>
      <c r="G45" s="45"/>
      <c r="H45" s="45"/>
      <c r="I45" s="45"/>
      <c r="J45" s="45"/>
      <c r="K45" s="45"/>
    </row>
    <row r="46" ht="15.75" customHeight="1">
      <c r="A46" s="66" t="s">
        <v>64</v>
      </c>
      <c r="B46" s="114"/>
      <c r="C46" s="115"/>
      <c r="D46" s="116"/>
      <c r="E46" s="116"/>
      <c r="F46" s="45"/>
      <c r="G46" s="45"/>
      <c r="H46" s="45"/>
      <c r="I46" s="45"/>
      <c r="J46" s="45"/>
      <c r="K46" s="45"/>
    </row>
    <row r="47" ht="15.75" customHeight="1">
      <c r="A47" s="128" t="s">
        <v>795</v>
      </c>
      <c r="B47" s="128"/>
      <c r="C47" s="128"/>
      <c r="D47" s="128"/>
      <c r="E47" s="128"/>
      <c r="F47" s="45"/>
      <c r="G47" s="45"/>
      <c r="H47" s="45"/>
      <c r="I47" s="45"/>
      <c r="J47" s="45"/>
      <c r="K47" s="45"/>
    </row>
    <row r="48" ht="15.75" customHeight="1">
      <c r="A48" s="347" t="s">
        <v>796</v>
      </c>
      <c r="B48" s="141"/>
      <c r="C48" s="141"/>
      <c r="D48" s="141"/>
      <c r="E48" s="141"/>
      <c r="F48" s="45"/>
      <c r="G48" s="45"/>
      <c r="H48" s="45"/>
      <c r="I48" s="45"/>
      <c r="J48" s="45"/>
      <c r="K48" s="45"/>
    </row>
    <row r="49" ht="15.75" customHeight="1">
      <c r="A49" s="128" t="s">
        <v>797</v>
      </c>
      <c r="B49" s="128"/>
      <c r="C49" s="128"/>
      <c r="D49" s="128"/>
      <c r="E49" s="128"/>
      <c r="F49" s="45"/>
      <c r="G49" s="45"/>
      <c r="H49" s="45"/>
      <c r="I49" s="45"/>
      <c r="J49" s="45"/>
      <c r="K49" s="45"/>
    </row>
    <row r="50" ht="15.75" customHeight="1">
      <c r="A50" s="128" t="s">
        <v>798</v>
      </c>
      <c r="B50" s="128"/>
      <c r="C50" s="128"/>
      <c r="D50" s="128"/>
      <c r="E50" s="128"/>
      <c r="F50" s="45"/>
      <c r="G50" s="45"/>
      <c r="H50" s="45"/>
      <c r="I50" s="45"/>
      <c r="J50" s="45"/>
      <c r="K50" s="45"/>
    </row>
    <row r="51" ht="15.75" customHeight="1">
      <c r="A51" s="128" t="s">
        <v>800</v>
      </c>
      <c r="B51" s="128"/>
      <c r="C51" s="128"/>
      <c r="D51" s="128"/>
      <c r="E51" s="128"/>
      <c r="F51" s="45"/>
      <c r="G51" s="45"/>
      <c r="H51" s="45"/>
      <c r="I51" s="45"/>
      <c r="J51" s="45"/>
      <c r="K51" s="45"/>
    </row>
    <row r="52" ht="15.75" customHeight="1">
      <c r="A52" s="85" t="s">
        <v>801</v>
      </c>
      <c r="B52" s="85"/>
      <c r="C52" s="85"/>
      <c r="D52" s="85"/>
      <c r="E52" s="85"/>
      <c r="F52" s="45"/>
      <c r="G52" s="45"/>
      <c r="H52" s="45"/>
      <c r="I52" s="45"/>
      <c r="J52" s="45"/>
      <c r="K52" s="45"/>
    </row>
    <row r="53" ht="15.75" customHeight="1">
      <c r="A53" s="85" t="s">
        <v>803</v>
      </c>
      <c r="B53" s="85"/>
      <c r="C53" s="85"/>
      <c r="D53" s="85"/>
      <c r="E53" s="85"/>
      <c r="F53" s="45"/>
      <c r="G53" s="45"/>
      <c r="H53" s="45"/>
      <c r="I53" s="45"/>
      <c r="J53" s="45"/>
      <c r="K53" s="45"/>
    </row>
    <row r="54" ht="18.0" customHeight="1">
      <c r="A54" s="129"/>
      <c r="D54" s="130"/>
      <c r="E54" s="130"/>
      <c r="F54" s="130"/>
      <c r="G54" s="130"/>
      <c r="H54" s="130"/>
      <c r="I54" s="130"/>
      <c r="J54" s="130"/>
      <c r="K54" s="130"/>
    </row>
    <row r="55" ht="18.0" customHeight="1">
      <c r="A55" s="129"/>
      <c r="B55" s="129"/>
      <c r="C55" s="129"/>
      <c r="D55" s="130"/>
      <c r="E55" s="130"/>
      <c r="F55" s="130"/>
      <c r="G55" s="130"/>
      <c r="H55" s="130"/>
      <c r="I55" s="130"/>
      <c r="J55" s="130"/>
      <c r="K55" s="130"/>
    </row>
    <row r="56" ht="18.0" customHeight="1">
      <c r="A56" s="131" t="s">
        <v>12</v>
      </c>
      <c r="B56" s="31" t="s">
        <v>16</v>
      </c>
      <c r="C56" s="31" t="s">
        <v>20</v>
      </c>
      <c r="D56" s="41"/>
      <c r="E56" s="38"/>
    </row>
    <row r="57" ht="18.0" customHeight="1">
      <c r="A57" s="327"/>
      <c r="B57" s="64"/>
      <c r="C57" s="53"/>
      <c r="D57" s="55"/>
      <c r="E57" s="47"/>
    </row>
    <row r="58" ht="18.0" customHeight="1">
      <c r="A58" s="63"/>
      <c r="B58" s="64"/>
      <c r="C58" s="53"/>
      <c r="D58" s="55"/>
      <c r="E58" s="47"/>
    </row>
    <row r="59" ht="18.0" customHeight="1">
      <c r="A59" s="132" t="s">
        <v>62</v>
      </c>
      <c r="B59" s="133"/>
      <c r="C59" s="134"/>
      <c r="D59" s="135"/>
      <c r="E59" s="136"/>
    </row>
    <row r="60" ht="15.75" customHeight="1">
      <c r="A60" s="137" t="s">
        <v>64</v>
      </c>
      <c r="B60" s="138"/>
      <c r="C60" s="138"/>
      <c r="D60" s="138"/>
      <c r="E60" s="138"/>
      <c r="F60" s="139"/>
      <c r="G60" s="139"/>
      <c r="H60" s="139"/>
      <c r="I60" s="139"/>
      <c r="J60" s="139"/>
      <c r="K60" s="139"/>
    </row>
    <row r="61" ht="15.75" customHeight="1">
      <c r="A61" s="143"/>
      <c r="B61" s="141"/>
      <c r="C61" s="141"/>
      <c r="D61" s="141"/>
      <c r="E61" s="141"/>
      <c r="F61" s="139"/>
      <c r="G61" s="139"/>
      <c r="H61" s="139"/>
      <c r="I61" s="139"/>
      <c r="J61" s="139"/>
      <c r="K61" s="139"/>
    </row>
    <row r="62" ht="15.75" customHeight="1">
      <c r="A62" s="143"/>
      <c r="B62" s="143"/>
      <c r="C62" s="143"/>
      <c r="D62" s="143"/>
      <c r="E62" s="143"/>
      <c r="F62" s="139"/>
      <c r="G62" s="139"/>
      <c r="H62" s="139"/>
      <c r="I62" s="139"/>
      <c r="J62" s="139"/>
      <c r="K62" s="139"/>
    </row>
    <row r="63" ht="15.75" customHeight="1">
      <c r="A63" s="143"/>
      <c r="B63" s="143"/>
      <c r="C63" s="143"/>
      <c r="D63" s="143"/>
      <c r="E63" s="143"/>
      <c r="F63" s="139"/>
      <c r="G63" s="139"/>
      <c r="H63" s="139"/>
      <c r="I63" s="139"/>
      <c r="J63" s="139"/>
      <c r="K63" s="139"/>
    </row>
    <row r="64" ht="15.75" customHeight="1">
      <c r="A64" s="143"/>
      <c r="B64" s="141"/>
      <c r="C64" s="141"/>
      <c r="D64" s="141"/>
      <c r="E64" s="141"/>
      <c r="F64" s="139"/>
      <c r="G64" s="139"/>
      <c r="H64" s="139"/>
      <c r="I64" s="139"/>
      <c r="J64" s="139"/>
      <c r="K64" s="139"/>
    </row>
    <row r="65" ht="15.75" customHeight="1">
      <c r="A65" s="143"/>
      <c r="B65" s="143"/>
      <c r="C65" s="143"/>
      <c r="D65" s="143"/>
      <c r="E65" s="143"/>
      <c r="F65" s="139"/>
      <c r="G65" s="139"/>
      <c r="H65" s="139"/>
      <c r="I65" s="139"/>
      <c r="J65" s="139"/>
      <c r="K65" s="139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49"/>
      <c r="C67" s="150"/>
      <c r="D67" s="151"/>
      <c r="E67" s="152"/>
    </row>
    <row r="68" ht="15.75" customHeight="1">
      <c r="A68" s="146"/>
      <c r="B68" s="149"/>
      <c r="C68" s="150"/>
      <c r="D68" s="151"/>
      <c r="E68" s="152"/>
    </row>
    <row r="69" ht="15.75" customHeight="1">
      <c r="A69" s="146"/>
      <c r="B69" s="149"/>
      <c r="C69" s="150"/>
      <c r="D69" s="151"/>
      <c r="E69" s="152"/>
    </row>
    <row r="70" ht="15.75" customHeight="1">
      <c r="A70" s="146"/>
      <c r="B70" s="149"/>
      <c r="C70" s="150"/>
      <c r="D70" s="151"/>
      <c r="E70" s="152"/>
    </row>
    <row r="71" ht="15.75" customHeight="1">
      <c r="A71" s="146"/>
      <c r="B71" s="149"/>
      <c r="C71" s="150"/>
      <c r="D71" s="151"/>
      <c r="E71" s="152"/>
    </row>
    <row r="72" ht="15.75" customHeight="1">
      <c r="A72" s="146"/>
      <c r="B72" s="149"/>
      <c r="C72" s="150"/>
      <c r="D72" s="151"/>
      <c r="E72" s="152"/>
    </row>
    <row r="73" ht="15.75" customHeight="1">
      <c r="A73" s="146"/>
      <c r="B73" s="159"/>
      <c r="C73" s="160"/>
      <c r="D73" s="149"/>
      <c r="E73" s="161"/>
    </row>
    <row r="74" ht="15.75" customHeight="1">
      <c r="A74" s="162"/>
      <c r="B74" s="163"/>
      <c r="C74" s="163"/>
      <c r="D74" s="163"/>
      <c r="E74" s="152"/>
    </row>
    <row r="75" ht="15.75" customHeight="1">
      <c r="A75" s="164"/>
      <c r="B75" s="5"/>
      <c r="C75" s="130"/>
      <c r="D75" s="130"/>
      <c r="E75" s="165"/>
    </row>
    <row r="76" ht="15.75" customHeight="1">
      <c r="A76" s="164"/>
      <c r="B76" s="5"/>
      <c r="C76" s="130"/>
      <c r="D76" s="130"/>
      <c r="E76" s="165"/>
    </row>
    <row r="77" ht="15.75" customHeight="1">
      <c r="A77" s="164"/>
      <c r="B77" s="5"/>
      <c r="C77" s="130"/>
      <c r="D77" s="130"/>
      <c r="E77" s="165"/>
    </row>
    <row r="78" ht="15.75" customHeight="1">
      <c r="A78" s="164"/>
      <c r="B78" s="5"/>
      <c r="C78" s="130"/>
      <c r="D78" s="130"/>
      <c r="E78" s="165"/>
    </row>
    <row r="79" ht="15.75" customHeight="1">
      <c r="A79" s="164"/>
      <c r="B79" s="5"/>
      <c r="C79" s="130"/>
      <c r="D79" s="130"/>
      <c r="E79" s="165"/>
    </row>
    <row r="80" ht="15.75" customHeight="1">
      <c r="A80" s="164"/>
      <c r="B80" s="5"/>
      <c r="C80" s="130"/>
      <c r="D80" s="130"/>
      <c r="E80" s="165"/>
    </row>
    <row r="81" ht="15.75" customHeight="1">
      <c r="A81" s="164"/>
      <c r="B81" s="5"/>
      <c r="C81" s="130"/>
      <c r="D81" s="130"/>
      <c r="E81" s="165"/>
    </row>
    <row r="82" ht="15.75" customHeight="1">
      <c r="A82" s="166"/>
      <c r="B82" s="167"/>
      <c r="C82" s="168"/>
      <c r="D82" s="168"/>
      <c r="E82" s="169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A16:E16"/>
    <mergeCell ref="A17:E17"/>
    <mergeCell ref="A19:C19"/>
    <mergeCell ref="D22:E22"/>
    <mergeCell ref="D23:E23"/>
    <mergeCell ref="D26:E26"/>
    <mergeCell ref="D27:E27"/>
    <mergeCell ref="A37:C37"/>
    <mergeCell ref="D38:E38"/>
    <mergeCell ref="D39:E39"/>
    <mergeCell ref="D42:E42"/>
    <mergeCell ref="D44:E44"/>
    <mergeCell ref="A48:E48"/>
    <mergeCell ref="A54:C54"/>
    <mergeCell ref="D67:E67"/>
    <mergeCell ref="D68:E68"/>
    <mergeCell ref="D69:E69"/>
    <mergeCell ref="D70:E70"/>
    <mergeCell ref="D71:E71"/>
    <mergeCell ref="D72:E72"/>
    <mergeCell ref="A74:E74"/>
    <mergeCell ref="D56:E56"/>
    <mergeCell ref="D57:E57"/>
    <mergeCell ref="D58:E58"/>
    <mergeCell ref="A60:E60"/>
    <mergeCell ref="A61:E61"/>
    <mergeCell ref="A64:E64"/>
    <mergeCell ref="D66:E6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755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758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761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763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766</v>
      </c>
      <c r="B10" s="64">
        <v>50.0</v>
      </c>
      <c r="C10" s="351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644</v>
      </c>
      <c r="B11" s="64">
        <v>30.0</v>
      </c>
      <c r="C11" s="53" t="s">
        <v>25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28</v>
      </c>
      <c r="B12" s="64">
        <v>15.0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771</v>
      </c>
      <c r="B13" s="64">
        <v>12.0</v>
      </c>
      <c r="C13" s="53" t="s">
        <v>772</v>
      </c>
      <c r="D13" s="55"/>
      <c r="E13" s="61"/>
      <c r="F13" s="45"/>
      <c r="G13" s="45"/>
      <c r="H13" s="45"/>
      <c r="I13" s="45"/>
      <c r="J13" s="45"/>
      <c r="K13" s="45"/>
    </row>
    <row r="14">
      <c r="A14" s="63"/>
      <c r="B14" s="64"/>
      <c r="C14" s="53"/>
      <c r="D14" s="55"/>
      <c r="E14" s="55"/>
      <c r="F14" s="45"/>
      <c r="G14" s="45"/>
      <c r="H14" s="45"/>
      <c r="I14" s="45"/>
      <c r="J14" s="45"/>
      <c r="K14" s="45"/>
    </row>
    <row r="15">
      <c r="A15" s="66" t="s">
        <v>48</v>
      </c>
      <c r="B15" s="68"/>
      <c r="C15" s="68"/>
      <c r="D15" s="71"/>
      <c r="E15" s="71"/>
      <c r="F15" s="45"/>
      <c r="G15" s="45"/>
      <c r="H15" s="45"/>
      <c r="I15" s="45"/>
      <c r="J15" s="45"/>
      <c r="K15" s="45"/>
    </row>
    <row r="16">
      <c r="A16" s="128" t="s">
        <v>775</v>
      </c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 t="s">
        <v>777</v>
      </c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85" t="s">
        <v>780</v>
      </c>
      <c r="B18" s="85"/>
      <c r="C18" s="85"/>
      <c r="D18" s="85"/>
      <c r="E18" s="85"/>
      <c r="F18" s="45"/>
      <c r="G18" s="45"/>
      <c r="H18" s="45"/>
      <c r="I18" s="45"/>
      <c r="J18" s="45"/>
      <c r="K18" s="45"/>
    </row>
    <row r="19">
      <c r="A19" s="85" t="s">
        <v>781</v>
      </c>
      <c r="B19" s="85"/>
      <c r="C19" s="85"/>
      <c r="D19" s="85"/>
      <c r="E19" s="85"/>
      <c r="F19" s="45"/>
      <c r="G19" s="45"/>
      <c r="H19" s="45"/>
      <c r="I19" s="45"/>
      <c r="J19" s="45"/>
      <c r="K19" s="45"/>
    </row>
    <row r="20">
      <c r="A20" s="85"/>
      <c r="B20" s="85"/>
      <c r="C20" s="85"/>
      <c r="D20" s="85"/>
      <c r="E20" s="85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647</v>
      </c>
      <c r="D22" s="121"/>
      <c r="E22" s="121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648</v>
      </c>
      <c r="B24" s="97">
        <v>0.05</v>
      </c>
      <c r="C24" s="99" t="s">
        <v>649</v>
      </c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486</v>
      </c>
      <c r="B25" s="97">
        <v>2.0</v>
      </c>
      <c r="C25" s="99" t="s">
        <v>74</v>
      </c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650</v>
      </c>
      <c r="B26" s="97">
        <v>1.0</v>
      </c>
      <c r="C26" s="99" t="s">
        <v>58</v>
      </c>
      <c r="D26" s="55"/>
      <c r="E26" s="55"/>
      <c r="F26" s="45"/>
      <c r="G26" s="45"/>
      <c r="H26" s="45"/>
      <c r="I26" s="45"/>
      <c r="J26" s="45"/>
      <c r="K26" s="45"/>
    </row>
    <row r="27" ht="15.75" customHeight="1">
      <c r="A27" s="327"/>
      <c r="B27" s="97"/>
      <c r="C27" s="99"/>
      <c r="D27" s="55"/>
      <c r="E27" s="47"/>
      <c r="F27" s="45"/>
      <c r="G27" s="45"/>
      <c r="H27" s="45"/>
      <c r="I27" s="45"/>
      <c r="J27" s="45"/>
      <c r="K27" s="45"/>
    </row>
    <row r="28" ht="15.75" customHeight="1">
      <c r="A28" s="66" t="s">
        <v>62</v>
      </c>
      <c r="B28" s="111">
        <v>2.2</v>
      </c>
      <c r="C28" s="113" t="s">
        <v>58</v>
      </c>
      <c r="D28" s="71"/>
      <c r="E28" s="71"/>
      <c r="F28" s="45"/>
      <c r="G28" s="45"/>
      <c r="H28" s="45"/>
      <c r="I28" s="45"/>
      <c r="J28" s="45"/>
      <c r="K28" s="45"/>
    </row>
    <row r="29" ht="15.75" customHeight="1">
      <c r="A29" s="66" t="s">
        <v>64</v>
      </c>
      <c r="B29" s="114"/>
      <c r="C29" s="115"/>
      <c r="D29" s="116"/>
      <c r="E29" s="116"/>
      <c r="F29" s="45"/>
      <c r="G29" s="45"/>
      <c r="H29" s="45"/>
      <c r="I29" s="45"/>
      <c r="J29" s="45"/>
      <c r="K29" s="45"/>
    </row>
    <row r="30" ht="15.75" customHeight="1">
      <c r="A30" s="72" t="s">
        <v>651</v>
      </c>
      <c r="B30" s="72"/>
      <c r="C30" s="72"/>
      <c r="D30" s="72"/>
      <c r="E30" s="72"/>
      <c r="F30" s="45"/>
      <c r="G30" s="45"/>
      <c r="H30" s="45"/>
      <c r="I30" s="45"/>
      <c r="J30" s="45"/>
      <c r="K30" s="45"/>
    </row>
    <row r="31" ht="15.75" customHeight="1">
      <c r="A31" s="140" t="s">
        <v>652</v>
      </c>
      <c r="B31" s="141"/>
      <c r="C31" s="141"/>
      <c r="D31" s="141"/>
      <c r="E31" s="141"/>
      <c r="F31" s="45"/>
      <c r="G31" s="45"/>
      <c r="H31" s="45"/>
      <c r="I31" s="45"/>
      <c r="J31" s="45"/>
      <c r="K31" s="45"/>
    </row>
    <row r="32" ht="15.75" customHeight="1">
      <c r="A32" s="72" t="s">
        <v>654</v>
      </c>
      <c r="B32" s="72"/>
      <c r="C32" s="72"/>
      <c r="D32" s="72"/>
      <c r="E32" s="72"/>
      <c r="F32" s="45"/>
      <c r="G32" s="45"/>
      <c r="H32" s="45"/>
      <c r="I32" s="45"/>
      <c r="J32" s="45"/>
      <c r="K32" s="45"/>
    </row>
    <row r="33" ht="15.0" customHeight="1">
      <c r="A33" s="79" t="s">
        <v>655</v>
      </c>
      <c r="B33" s="79"/>
      <c r="C33" s="79"/>
      <c r="D33" s="79"/>
      <c r="E33" s="79"/>
      <c r="F33" s="45"/>
      <c r="G33" s="45"/>
      <c r="H33" s="45"/>
      <c r="I33" s="45"/>
      <c r="J33" s="45"/>
      <c r="K33" s="45"/>
    </row>
    <row r="34" ht="15.75" customHeight="1">
      <c r="A34" s="79" t="s">
        <v>657</v>
      </c>
      <c r="B34" s="79"/>
      <c r="C34" s="79"/>
      <c r="D34" s="79"/>
      <c r="E34" s="79"/>
      <c r="F34" s="45"/>
      <c r="G34" s="45"/>
      <c r="H34" s="45"/>
      <c r="I34" s="45"/>
      <c r="J34" s="45"/>
      <c r="K34" s="45"/>
    </row>
    <row r="35" ht="15.75" customHeight="1">
      <c r="A35" s="32" t="s">
        <v>12</v>
      </c>
      <c r="B35" s="34" t="s">
        <v>16</v>
      </c>
      <c r="C35" s="34" t="s">
        <v>20</v>
      </c>
      <c r="D35" s="41" t="s">
        <v>22</v>
      </c>
      <c r="E35" s="38"/>
      <c r="F35" s="45"/>
      <c r="G35" s="45"/>
      <c r="H35" s="45"/>
      <c r="I35" s="45"/>
      <c r="J35" s="45"/>
      <c r="K35" s="45"/>
    </row>
    <row r="36" ht="15.75" customHeight="1">
      <c r="A36" s="327"/>
      <c r="B36" s="97"/>
      <c r="C36" s="99"/>
      <c r="D36" s="55"/>
      <c r="E36" s="47"/>
      <c r="F36" s="45"/>
      <c r="G36" s="45"/>
      <c r="H36" s="45"/>
      <c r="I36" s="45"/>
      <c r="J36" s="45"/>
      <c r="K36" s="45"/>
    </row>
    <row r="37" ht="15.75" customHeight="1">
      <c r="A37" s="327"/>
      <c r="B37" s="97"/>
      <c r="C37" s="99"/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6" t="s">
        <v>62</v>
      </c>
      <c r="B38" s="111"/>
      <c r="C38" s="113"/>
      <c r="D38" s="71"/>
      <c r="E38" s="71"/>
      <c r="F38" s="45"/>
      <c r="G38" s="45"/>
      <c r="H38" s="45"/>
      <c r="I38" s="45"/>
      <c r="J38" s="45"/>
      <c r="K38" s="45"/>
    </row>
    <row r="39" ht="15.75" customHeight="1">
      <c r="A39" s="66" t="s">
        <v>64</v>
      </c>
      <c r="B39" s="114"/>
      <c r="C39" s="115"/>
      <c r="D39" s="116"/>
      <c r="E39" s="116"/>
      <c r="F39" s="45"/>
      <c r="G39" s="45"/>
      <c r="H39" s="45"/>
      <c r="I39" s="45"/>
      <c r="J39" s="45"/>
      <c r="K39" s="45"/>
    </row>
    <row r="40" ht="15.75" customHeight="1">
      <c r="A40" s="128"/>
      <c r="B40" s="128"/>
      <c r="C40" s="128"/>
      <c r="D40" s="128"/>
      <c r="E40" s="128"/>
      <c r="F40" s="45"/>
      <c r="G40" s="45"/>
      <c r="H40" s="45"/>
      <c r="I40" s="45"/>
      <c r="J40" s="45"/>
      <c r="K40" s="45"/>
    </row>
    <row r="41" ht="15.75" customHeight="1">
      <c r="A41" s="347"/>
      <c r="B41" s="141"/>
      <c r="C41" s="141"/>
      <c r="D41" s="141"/>
      <c r="E41" s="141"/>
      <c r="F41" s="45"/>
      <c r="G41" s="45"/>
      <c r="H41" s="45"/>
      <c r="I41" s="45"/>
      <c r="J41" s="45"/>
      <c r="K41" s="45"/>
    </row>
    <row r="42" ht="15.75" customHeight="1">
      <c r="A42" s="128"/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8.0" customHeight="1">
      <c r="A43" s="129"/>
      <c r="D43" s="130"/>
      <c r="E43" s="130"/>
      <c r="F43" s="130"/>
      <c r="G43" s="130"/>
      <c r="H43" s="130"/>
      <c r="I43" s="130"/>
      <c r="J43" s="130"/>
      <c r="K43" s="130"/>
    </row>
    <row r="44" ht="18.0" customHeight="1">
      <c r="A44" s="129"/>
      <c r="B44" s="129"/>
      <c r="C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131" t="s">
        <v>12</v>
      </c>
      <c r="B45" s="31" t="s">
        <v>16</v>
      </c>
      <c r="C45" s="31" t="s">
        <v>20</v>
      </c>
      <c r="D45" s="41"/>
      <c r="E45" s="38"/>
    </row>
    <row r="46" ht="18.0" customHeight="1">
      <c r="A46" s="327"/>
      <c r="B46" s="64"/>
      <c r="C46" s="53"/>
      <c r="D46" s="55"/>
      <c r="E46" s="47"/>
    </row>
    <row r="47" ht="18.0" customHeight="1">
      <c r="A47" s="63"/>
      <c r="B47" s="64"/>
      <c r="C47" s="53"/>
      <c r="D47" s="55"/>
      <c r="E47" s="47"/>
    </row>
    <row r="48" ht="18.0" customHeight="1">
      <c r="A48" s="132" t="s">
        <v>62</v>
      </c>
      <c r="B48" s="133"/>
      <c r="C48" s="134"/>
      <c r="D48" s="135"/>
      <c r="E48" s="136"/>
    </row>
    <row r="49" ht="15.75" customHeight="1">
      <c r="A49" s="137" t="s">
        <v>64</v>
      </c>
      <c r="B49" s="138"/>
      <c r="C49" s="138"/>
      <c r="D49" s="138"/>
      <c r="E49" s="138"/>
      <c r="F49" s="139"/>
      <c r="G49" s="139"/>
      <c r="H49" s="139"/>
      <c r="I49" s="139"/>
      <c r="J49" s="139"/>
      <c r="K49" s="139"/>
    </row>
    <row r="50" ht="15.75" customHeight="1">
      <c r="A50" s="143"/>
      <c r="B50" s="141"/>
      <c r="C50" s="141"/>
      <c r="D50" s="141"/>
      <c r="E50" s="141"/>
      <c r="F50" s="139"/>
      <c r="G50" s="139"/>
      <c r="H50" s="139"/>
      <c r="I50" s="139"/>
      <c r="J50" s="139"/>
      <c r="K50" s="139"/>
    </row>
    <row r="51" ht="15.75" customHeight="1">
      <c r="A51" s="143"/>
      <c r="B51" s="143"/>
      <c r="C51" s="143"/>
      <c r="D51" s="143"/>
      <c r="E51" s="143"/>
      <c r="F51" s="139"/>
      <c r="G51" s="139"/>
      <c r="H51" s="139"/>
      <c r="I51" s="139"/>
      <c r="J51" s="139"/>
      <c r="K51" s="139"/>
    </row>
    <row r="52" ht="15.75" customHeight="1">
      <c r="A52" s="143"/>
      <c r="B52" s="143"/>
      <c r="C52" s="143"/>
      <c r="D52" s="143"/>
      <c r="E52" s="143"/>
      <c r="F52" s="139"/>
      <c r="G52" s="139"/>
      <c r="H52" s="139"/>
      <c r="I52" s="139"/>
      <c r="J52" s="139"/>
      <c r="K52" s="139"/>
    </row>
    <row r="53" ht="15.75" customHeight="1">
      <c r="A53" s="143"/>
      <c r="B53" s="141"/>
      <c r="C53" s="141"/>
      <c r="D53" s="141"/>
      <c r="E53" s="141"/>
      <c r="F53" s="139"/>
      <c r="G53" s="139"/>
      <c r="H53" s="139"/>
      <c r="I53" s="139"/>
      <c r="J53" s="139"/>
      <c r="K53" s="139"/>
    </row>
    <row r="54" ht="15.75" customHeight="1">
      <c r="A54" s="143"/>
      <c r="B54" s="143"/>
      <c r="C54" s="143"/>
      <c r="D54" s="143"/>
      <c r="E54" s="143"/>
      <c r="F54" s="139"/>
      <c r="G54" s="139"/>
      <c r="H54" s="139"/>
      <c r="I54" s="139"/>
      <c r="J54" s="139"/>
      <c r="K54" s="139"/>
    </row>
    <row r="55" ht="15.75" customHeight="1">
      <c r="A55" s="146"/>
      <c r="B55" s="149"/>
      <c r="C55" s="150"/>
      <c r="D55" s="151"/>
      <c r="E55" s="152"/>
    </row>
    <row r="56" ht="15.75" customHeight="1">
      <c r="A56" s="146"/>
      <c r="B56" s="149"/>
      <c r="C56" s="150"/>
      <c r="D56" s="151"/>
      <c r="E56" s="152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49"/>
      <c r="C59" s="150"/>
      <c r="D59" s="151"/>
      <c r="E59" s="152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59"/>
      <c r="C62" s="160"/>
      <c r="D62" s="149"/>
      <c r="E62" s="161"/>
    </row>
    <row r="63" ht="15.75" customHeight="1">
      <c r="A63" s="162"/>
      <c r="B63" s="163"/>
      <c r="C63" s="163"/>
      <c r="D63" s="163"/>
      <c r="E63" s="152"/>
    </row>
    <row r="64" ht="15.75" customHeight="1">
      <c r="A64" s="164"/>
      <c r="B64" s="5"/>
      <c r="C64" s="130"/>
      <c r="D64" s="130"/>
      <c r="E64" s="165"/>
    </row>
    <row r="65" ht="15.75" customHeight="1">
      <c r="A65" s="164"/>
      <c r="B65" s="5"/>
      <c r="C65" s="130"/>
      <c r="D65" s="130"/>
      <c r="E65" s="165"/>
    </row>
    <row r="66" ht="15.75" customHeight="1">
      <c r="A66" s="164"/>
      <c r="B66" s="5"/>
      <c r="C66" s="130"/>
      <c r="D66" s="130"/>
      <c r="E66" s="165"/>
    </row>
    <row r="67" ht="15.75" customHeight="1">
      <c r="A67" s="164"/>
      <c r="B67" s="5"/>
      <c r="C67" s="130"/>
      <c r="D67" s="130"/>
      <c r="E67" s="165"/>
    </row>
    <row r="68" ht="15.75" customHeight="1">
      <c r="A68" s="164"/>
      <c r="B68" s="5"/>
      <c r="C68" s="130"/>
      <c r="D68" s="130"/>
      <c r="E68" s="165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6"/>
      <c r="B71" s="167"/>
      <c r="C71" s="168"/>
      <c r="D71" s="168"/>
      <c r="E71" s="169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3:D3"/>
    <mergeCell ref="A5:E5"/>
    <mergeCell ref="A6:C6"/>
    <mergeCell ref="D9:E9"/>
    <mergeCell ref="D10:E10"/>
    <mergeCell ref="D11:E11"/>
    <mergeCell ref="D12:E12"/>
    <mergeCell ref="D27:E27"/>
    <mergeCell ref="D35:E35"/>
    <mergeCell ref="D36:E36"/>
    <mergeCell ref="D37:E37"/>
    <mergeCell ref="A16:E16"/>
    <mergeCell ref="A17:E17"/>
    <mergeCell ref="A21:C21"/>
    <mergeCell ref="A22:C22"/>
    <mergeCell ref="D23:E23"/>
    <mergeCell ref="D24:E24"/>
    <mergeCell ref="A31:E31"/>
    <mergeCell ref="A41:E41"/>
    <mergeCell ref="A43:C43"/>
    <mergeCell ref="D45:E45"/>
    <mergeCell ref="D46:E46"/>
    <mergeCell ref="D47:E47"/>
    <mergeCell ref="A49:E49"/>
    <mergeCell ref="A50:E50"/>
    <mergeCell ref="D61:E61"/>
    <mergeCell ref="A63:E63"/>
    <mergeCell ref="A53:E53"/>
    <mergeCell ref="D55:E55"/>
    <mergeCell ref="D56:E56"/>
    <mergeCell ref="D57:E57"/>
    <mergeCell ref="D58:E58"/>
    <mergeCell ref="D59:E59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774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261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782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785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787</v>
      </c>
      <c r="B10" s="64">
        <v>15.0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789</v>
      </c>
      <c r="B11" s="64">
        <v>50.0</v>
      </c>
      <c r="C11" s="53" t="s">
        <v>25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791</v>
      </c>
      <c r="B12" s="64">
        <v>20.0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793</v>
      </c>
      <c r="B13" s="64">
        <v>20.0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794</v>
      </c>
      <c r="B14" s="64">
        <v>20.0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/>
      <c r="B15" s="64"/>
      <c r="C15" s="53"/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799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802</v>
      </c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85" t="s">
        <v>804</v>
      </c>
      <c r="B20" s="85"/>
      <c r="C20" s="85"/>
      <c r="D20" s="85"/>
      <c r="E20" s="85"/>
      <c r="F20" s="45"/>
      <c r="G20" s="45"/>
      <c r="H20" s="45"/>
      <c r="I20" s="45"/>
      <c r="J20" s="45"/>
      <c r="K20" s="45"/>
    </row>
    <row r="21" ht="15.75" customHeight="1">
      <c r="A21" s="85" t="s">
        <v>805</v>
      </c>
      <c r="B21" s="85"/>
      <c r="C21" s="85"/>
      <c r="D21" s="85"/>
      <c r="E21" s="85"/>
      <c r="F21" s="45"/>
      <c r="G21" s="45"/>
      <c r="H21" s="45"/>
      <c r="I21" s="45"/>
      <c r="J21" s="45"/>
      <c r="K21" s="45"/>
    </row>
    <row r="22" ht="15.75" customHeight="1">
      <c r="A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28"/>
      <c r="B23" s="28"/>
      <c r="C23" s="28"/>
      <c r="D23" s="45"/>
      <c r="E23" s="45"/>
      <c r="F23" s="45"/>
      <c r="G23" s="45"/>
      <c r="H23" s="45"/>
      <c r="I23" s="45"/>
      <c r="J23" s="45"/>
      <c r="K23" s="45"/>
    </row>
    <row r="24" ht="15.75" customHeight="1">
      <c r="A24" s="32" t="s">
        <v>12</v>
      </c>
      <c r="B24" s="34" t="s">
        <v>16</v>
      </c>
      <c r="C24" s="34" t="s">
        <v>20</v>
      </c>
      <c r="D24" s="41" t="s">
        <v>22</v>
      </c>
      <c r="E24" s="38"/>
      <c r="F24" s="45"/>
      <c r="G24" s="45"/>
      <c r="H24" s="45"/>
      <c r="I24" s="45"/>
      <c r="J24" s="45"/>
      <c r="K24" s="45"/>
    </row>
    <row r="25" ht="15.75" customHeight="1">
      <c r="A25" s="327"/>
      <c r="B25" s="97"/>
      <c r="C25" s="99"/>
      <c r="D25" s="55"/>
      <c r="E25" s="47"/>
      <c r="F25" s="45"/>
      <c r="G25" s="45"/>
      <c r="H25" s="45"/>
      <c r="I25" s="45"/>
      <c r="J25" s="45"/>
      <c r="K25" s="45"/>
    </row>
    <row r="26" ht="15.75" customHeight="1">
      <c r="A26" s="327"/>
      <c r="B26" s="97"/>
      <c r="C26" s="99"/>
      <c r="D26" s="55"/>
      <c r="E26" s="47"/>
      <c r="F26" s="45"/>
      <c r="G26" s="45"/>
      <c r="H26" s="45"/>
      <c r="I26" s="45"/>
      <c r="J26" s="45"/>
      <c r="K26" s="45"/>
    </row>
    <row r="27" ht="15.75" customHeight="1">
      <c r="A27" s="66" t="s">
        <v>62</v>
      </c>
      <c r="B27" s="111"/>
      <c r="C27" s="113"/>
      <c r="D27" s="71"/>
      <c r="E27" s="71"/>
      <c r="F27" s="45"/>
      <c r="G27" s="45"/>
      <c r="H27" s="45"/>
      <c r="I27" s="45"/>
      <c r="J27" s="45"/>
      <c r="K27" s="45"/>
    </row>
    <row r="28" ht="15.75" customHeight="1">
      <c r="A28" s="66" t="s">
        <v>64</v>
      </c>
      <c r="B28" s="114"/>
      <c r="C28" s="115"/>
      <c r="D28" s="116"/>
      <c r="E28" s="116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85"/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85"/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85"/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28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32" t="s">
        <v>12</v>
      </c>
      <c r="B34" s="34" t="s">
        <v>16</v>
      </c>
      <c r="C34" s="34" t="s">
        <v>20</v>
      </c>
      <c r="D34" s="41" t="s">
        <v>22</v>
      </c>
      <c r="E34" s="38"/>
      <c r="F34" s="45"/>
      <c r="G34" s="45"/>
      <c r="H34" s="45"/>
      <c r="I34" s="45"/>
      <c r="J34" s="45"/>
      <c r="K34" s="45"/>
    </row>
    <row r="35" ht="15.75" customHeight="1">
      <c r="A35" s="327"/>
      <c r="B35" s="97"/>
      <c r="C35" s="99"/>
      <c r="D35" s="55"/>
      <c r="E35" s="47"/>
      <c r="F35" s="45"/>
      <c r="G35" s="45"/>
      <c r="H35" s="45"/>
      <c r="I35" s="45"/>
      <c r="J35" s="45"/>
      <c r="K35" s="45"/>
    </row>
    <row r="36" ht="15.75" customHeight="1">
      <c r="A36" s="327"/>
      <c r="B36" s="97"/>
      <c r="C36" s="99"/>
      <c r="D36" s="55"/>
      <c r="E36" s="47"/>
      <c r="F36" s="45"/>
      <c r="G36" s="45"/>
      <c r="H36" s="45"/>
      <c r="I36" s="45"/>
      <c r="J36" s="45"/>
      <c r="K36" s="45"/>
    </row>
    <row r="37" ht="15.75" customHeight="1">
      <c r="A37" s="66" t="s">
        <v>62</v>
      </c>
      <c r="B37" s="111"/>
      <c r="C37" s="113"/>
      <c r="D37" s="71"/>
      <c r="E37" s="71"/>
      <c r="F37" s="45"/>
      <c r="G37" s="45"/>
      <c r="H37" s="45"/>
      <c r="I37" s="45"/>
      <c r="J37" s="45"/>
      <c r="K37" s="45"/>
    </row>
    <row r="38" ht="15.75" customHeight="1">
      <c r="A38" s="66" t="s">
        <v>64</v>
      </c>
      <c r="B38" s="114"/>
      <c r="C38" s="115"/>
      <c r="D38" s="116"/>
      <c r="E38" s="116"/>
      <c r="F38" s="45"/>
      <c r="G38" s="45"/>
      <c r="H38" s="45"/>
      <c r="I38" s="45"/>
      <c r="J38" s="45"/>
      <c r="K38" s="45"/>
    </row>
    <row r="39" ht="15.75" customHeight="1">
      <c r="A39" s="128"/>
      <c r="B39" s="128"/>
      <c r="C39" s="128"/>
      <c r="D39" s="128"/>
      <c r="E39" s="128"/>
      <c r="F39" s="45"/>
      <c r="G39" s="45"/>
      <c r="H39" s="45"/>
      <c r="I39" s="45"/>
      <c r="J39" s="45"/>
      <c r="K39" s="45"/>
    </row>
    <row r="40" ht="15.75" customHeight="1">
      <c r="A40" s="347"/>
      <c r="B40" s="141"/>
      <c r="C40" s="141"/>
      <c r="D40" s="141"/>
      <c r="E40" s="141"/>
      <c r="F40" s="45"/>
      <c r="G40" s="45"/>
      <c r="H40" s="45"/>
      <c r="I40" s="45"/>
      <c r="J40" s="45"/>
      <c r="K40" s="45"/>
    </row>
    <row r="41" ht="15.75" customHeight="1">
      <c r="A41" s="128"/>
      <c r="B41" s="128"/>
      <c r="C41" s="128"/>
      <c r="D41" s="128"/>
      <c r="E41" s="128"/>
      <c r="F41" s="45"/>
      <c r="G41" s="45"/>
      <c r="H41" s="45"/>
      <c r="I41" s="45"/>
      <c r="J41" s="45"/>
      <c r="K41" s="45"/>
    </row>
    <row r="42" ht="18.0" customHeight="1">
      <c r="A42" s="129"/>
      <c r="D42" s="130"/>
      <c r="E42" s="130"/>
      <c r="F42" s="130"/>
      <c r="G42" s="130"/>
      <c r="H42" s="130"/>
      <c r="I42" s="130"/>
      <c r="J42" s="130"/>
      <c r="K42" s="130"/>
    </row>
    <row r="43" ht="18.0" customHeight="1">
      <c r="A43" s="129"/>
      <c r="B43" s="129"/>
      <c r="C43" s="129"/>
      <c r="D43" s="130"/>
      <c r="E43" s="130"/>
      <c r="F43" s="130"/>
      <c r="G43" s="130"/>
      <c r="H43" s="130"/>
      <c r="I43" s="130"/>
      <c r="J43" s="130"/>
      <c r="K43" s="130"/>
    </row>
    <row r="44" ht="18.0" customHeight="1">
      <c r="A44" s="131" t="s">
        <v>12</v>
      </c>
      <c r="B44" s="31" t="s">
        <v>16</v>
      </c>
      <c r="C44" s="31" t="s">
        <v>20</v>
      </c>
      <c r="D44" s="41"/>
      <c r="E44" s="38"/>
    </row>
    <row r="45" ht="18.0" customHeight="1">
      <c r="A45" s="327"/>
      <c r="B45" s="64"/>
      <c r="C45" s="53"/>
      <c r="D45" s="55"/>
      <c r="E45" s="47"/>
    </row>
    <row r="46" ht="18.0" customHeight="1">
      <c r="A46" s="63"/>
      <c r="B46" s="64"/>
      <c r="C46" s="53"/>
      <c r="D46" s="55"/>
      <c r="E46" s="47"/>
    </row>
    <row r="47" ht="18.0" customHeight="1">
      <c r="A47" s="132" t="s">
        <v>62</v>
      </c>
      <c r="B47" s="133"/>
      <c r="C47" s="134"/>
      <c r="D47" s="135"/>
      <c r="E47" s="136"/>
    </row>
    <row r="48" ht="15.75" customHeight="1">
      <c r="A48" s="137" t="s">
        <v>64</v>
      </c>
      <c r="B48" s="138"/>
      <c r="C48" s="138"/>
      <c r="D48" s="138"/>
      <c r="E48" s="138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143"/>
      <c r="B50" s="143"/>
      <c r="C50" s="143"/>
      <c r="D50" s="143"/>
      <c r="E50" s="143"/>
      <c r="F50" s="139"/>
      <c r="G50" s="139"/>
      <c r="H50" s="139"/>
      <c r="I50" s="139"/>
      <c r="J50" s="139"/>
      <c r="K50" s="139"/>
    </row>
    <row r="51" ht="15.75" customHeight="1">
      <c r="A51" s="143"/>
      <c r="B51" s="143"/>
      <c r="C51" s="143"/>
      <c r="D51" s="143"/>
      <c r="E51" s="143"/>
      <c r="F51" s="139"/>
      <c r="G51" s="139"/>
      <c r="H51" s="139"/>
      <c r="I51" s="139"/>
      <c r="J51" s="139"/>
      <c r="K51" s="139"/>
    </row>
    <row r="52" ht="15.75" customHeight="1">
      <c r="A52" s="143"/>
      <c r="B52" s="141"/>
      <c r="C52" s="141"/>
      <c r="D52" s="141"/>
      <c r="E52" s="141"/>
      <c r="F52" s="139"/>
      <c r="G52" s="139"/>
      <c r="H52" s="139"/>
      <c r="I52" s="139"/>
      <c r="J52" s="139"/>
      <c r="K52" s="139"/>
    </row>
    <row r="53" ht="15.75" customHeight="1">
      <c r="A53" s="143"/>
      <c r="B53" s="143"/>
      <c r="C53" s="143"/>
      <c r="D53" s="143"/>
      <c r="E53" s="143"/>
      <c r="F53" s="139"/>
      <c r="G53" s="139"/>
      <c r="H53" s="139"/>
      <c r="I53" s="139"/>
      <c r="J53" s="139"/>
      <c r="K53" s="139"/>
    </row>
    <row r="54" ht="15.75" customHeight="1">
      <c r="A54" s="146"/>
      <c r="B54" s="149"/>
      <c r="C54" s="150"/>
      <c r="D54" s="151"/>
      <c r="E54" s="152"/>
    </row>
    <row r="55" ht="15.75" customHeight="1">
      <c r="A55" s="146"/>
      <c r="B55" s="149"/>
      <c r="C55" s="150"/>
      <c r="D55" s="151"/>
      <c r="E55" s="152"/>
    </row>
    <row r="56" ht="15.75" customHeight="1">
      <c r="A56" s="146"/>
      <c r="B56" s="149"/>
      <c r="C56" s="150"/>
      <c r="D56" s="151"/>
      <c r="E56" s="152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49"/>
      <c r="C59" s="150"/>
      <c r="D59" s="151"/>
      <c r="E59" s="152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59"/>
      <c r="C61" s="160"/>
      <c r="D61" s="149"/>
      <c r="E61" s="161"/>
    </row>
    <row r="62" ht="15.75" customHeight="1">
      <c r="A62" s="162"/>
      <c r="B62" s="163"/>
      <c r="C62" s="163"/>
      <c r="D62" s="163"/>
      <c r="E62" s="152"/>
    </row>
    <row r="63" ht="15.75" customHeight="1">
      <c r="A63" s="164"/>
      <c r="B63" s="5"/>
      <c r="C63" s="130"/>
      <c r="D63" s="130"/>
      <c r="E63" s="165"/>
    </row>
    <row r="64" ht="15.75" customHeight="1">
      <c r="A64" s="164"/>
      <c r="B64" s="5"/>
      <c r="C64" s="130"/>
      <c r="D64" s="130"/>
      <c r="E64" s="165"/>
    </row>
    <row r="65" ht="15.75" customHeight="1">
      <c r="A65" s="164"/>
      <c r="B65" s="5"/>
      <c r="C65" s="130"/>
      <c r="D65" s="130"/>
      <c r="E65" s="165"/>
    </row>
    <row r="66" ht="15.75" customHeight="1">
      <c r="A66" s="164"/>
      <c r="B66" s="5"/>
      <c r="C66" s="130"/>
      <c r="D66" s="130"/>
      <c r="E66" s="165"/>
    </row>
    <row r="67" ht="15.75" customHeight="1">
      <c r="A67" s="164"/>
      <c r="B67" s="5"/>
      <c r="C67" s="130"/>
      <c r="D67" s="130"/>
      <c r="E67" s="165"/>
    </row>
    <row r="68" ht="15.75" customHeight="1">
      <c r="A68" s="164"/>
      <c r="B68" s="5"/>
      <c r="C68" s="130"/>
      <c r="D68" s="130"/>
      <c r="E68" s="165"/>
    </row>
    <row r="69" ht="15.75" customHeight="1">
      <c r="A69" s="164"/>
      <c r="B69" s="5"/>
      <c r="C69" s="130"/>
      <c r="D69" s="130"/>
      <c r="E69" s="165"/>
    </row>
    <row r="70" ht="15.75" customHeight="1">
      <c r="A70" s="166"/>
      <c r="B70" s="167"/>
      <c r="C70" s="168"/>
      <c r="D70" s="168"/>
      <c r="E70" s="169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19:E19"/>
    <mergeCell ref="A22:C22"/>
    <mergeCell ref="D24:E24"/>
    <mergeCell ref="D25:E25"/>
    <mergeCell ref="D26:E26"/>
    <mergeCell ref="A33:C33"/>
    <mergeCell ref="D34:E34"/>
    <mergeCell ref="D35:E35"/>
    <mergeCell ref="D36:E36"/>
    <mergeCell ref="A40:E40"/>
    <mergeCell ref="A42:C42"/>
    <mergeCell ref="D44:E44"/>
    <mergeCell ref="D56:E56"/>
    <mergeCell ref="D57:E57"/>
    <mergeCell ref="D58:E58"/>
    <mergeCell ref="D59:E59"/>
    <mergeCell ref="D60:E60"/>
    <mergeCell ref="A62:E62"/>
    <mergeCell ref="D45:E45"/>
    <mergeCell ref="D46:E46"/>
    <mergeCell ref="A48:E48"/>
    <mergeCell ref="A49:E49"/>
    <mergeCell ref="A52:E52"/>
    <mergeCell ref="D54:E54"/>
    <mergeCell ref="D55:E55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806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807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808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809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810</v>
      </c>
      <c r="B10" s="64">
        <v>50.0</v>
      </c>
      <c r="C10" s="53" t="s">
        <v>811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812</v>
      </c>
      <c r="B11" s="64">
        <v>5.0</v>
      </c>
      <c r="C11" s="53" t="s">
        <v>811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813</v>
      </c>
      <c r="B12" s="64">
        <v>5.0</v>
      </c>
      <c r="C12" s="53" t="s">
        <v>811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814</v>
      </c>
      <c r="B13" s="64">
        <v>15.0</v>
      </c>
      <c r="C13" s="53" t="s">
        <v>811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815</v>
      </c>
      <c r="B14" s="64">
        <v>100.0</v>
      </c>
      <c r="C14" s="53" t="s">
        <v>811</v>
      </c>
      <c r="D14" s="55"/>
      <c r="E14" s="47"/>
      <c r="F14" s="45"/>
      <c r="G14" s="45"/>
      <c r="H14" s="45"/>
      <c r="I14" s="45"/>
      <c r="J14" s="45"/>
      <c r="K14" s="45"/>
    </row>
    <row r="15">
      <c r="A15" s="63"/>
      <c r="B15" s="64"/>
      <c r="C15" s="53"/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816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817</v>
      </c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85" t="s">
        <v>818</v>
      </c>
      <c r="B20" s="85"/>
      <c r="C20" s="85"/>
      <c r="D20" s="85"/>
      <c r="E20" s="85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819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820</v>
      </c>
      <c r="B24" s="97">
        <v>0.6</v>
      </c>
      <c r="C24" s="99" t="s">
        <v>58</v>
      </c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821</v>
      </c>
      <c r="B25" s="97">
        <v>0.3</v>
      </c>
      <c r="C25" s="99" t="s">
        <v>58</v>
      </c>
      <c r="D25" s="55"/>
      <c r="E25" s="47"/>
      <c r="F25" s="45"/>
      <c r="G25" s="45"/>
      <c r="H25" s="45"/>
      <c r="I25" s="45"/>
      <c r="J25" s="45"/>
      <c r="K25" s="45"/>
    </row>
    <row r="26" ht="15.75" customHeight="1">
      <c r="A26" s="66" t="s">
        <v>62</v>
      </c>
      <c r="B26" s="111">
        <v>0.9</v>
      </c>
      <c r="C26" s="113" t="s">
        <v>58</v>
      </c>
      <c r="D26" s="71"/>
      <c r="E26" s="71"/>
      <c r="F26" s="45"/>
      <c r="G26" s="45"/>
      <c r="H26" s="45"/>
      <c r="I26" s="45"/>
      <c r="J26" s="45"/>
      <c r="K26" s="45"/>
    </row>
    <row r="27" ht="15.75" customHeight="1">
      <c r="A27" s="66" t="s">
        <v>64</v>
      </c>
      <c r="B27" s="114"/>
      <c r="C27" s="115"/>
      <c r="D27" s="116"/>
      <c r="E27" s="116"/>
      <c r="F27" s="45"/>
      <c r="G27" s="45"/>
      <c r="H27" s="45"/>
      <c r="I27" s="45"/>
      <c r="J27" s="45"/>
      <c r="K27" s="45"/>
    </row>
    <row r="28" ht="15.75" customHeight="1">
      <c r="A28" s="79" t="s">
        <v>822</v>
      </c>
      <c r="B28" s="118"/>
      <c r="C28" s="120"/>
      <c r="D28" s="121"/>
      <c r="E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 t="s">
        <v>823</v>
      </c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63" t="s">
        <v>824</v>
      </c>
      <c r="B32" s="97">
        <v>0.4</v>
      </c>
      <c r="C32" s="99" t="s">
        <v>58</v>
      </c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63" t="s">
        <v>825</v>
      </c>
      <c r="B33" s="97">
        <v>0.5</v>
      </c>
      <c r="C33" s="99" t="s">
        <v>58</v>
      </c>
      <c r="D33" s="55"/>
      <c r="E33" s="55"/>
      <c r="F33" s="45"/>
      <c r="G33" s="45"/>
      <c r="H33" s="45"/>
      <c r="I33" s="45"/>
      <c r="J33" s="45"/>
      <c r="K33" s="45"/>
    </row>
    <row r="34" ht="15.75" customHeight="1">
      <c r="A34" s="63" t="s">
        <v>826</v>
      </c>
      <c r="B34" s="97">
        <v>1.0</v>
      </c>
      <c r="C34" s="99" t="s">
        <v>58</v>
      </c>
      <c r="D34" s="55"/>
      <c r="E34" s="55"/>
      <c r="F34" s="45"/>
      <c r="G34" s="45"/>
      <c r="H34" s="45"/>
      <c r="I34" s="45"/>
      <c r="J34" s="45"/>
      <c r="K34" s="45"/>
    </row>
    <row r="35" ht="15.75" customHeight="1">
      <c r="A35" s="327"/>
      <c r="B35" s="97"/>
      <c r="C35" s="99"/>
      <c r="D35" s="55"/>
      <c r="E35" s="47"/>
      <c r="F35" s="45"/>
      <c r="G35" s="45"/>
      <c r="H35" s="45"/>
      <c r="I35" s="45"/>
      <c r="J35" s="45"/>
      <c r="K35" s="45"/>
    </row>
    <row r="36" ht="15.75" customHeight="1">
      <c r="A36" s="66" t="s">
        <v>62</v>
      </c>
      <c r="B36" s="111">
        <v>1.9</v>
      </c>
      <c r="C36" s="113" t="s">
        <v>63</v>
      </c>
      <c r="D36" s="71"/>
      <c r="E36" s="71"/>
      <c r="F36" s="45"/>
      <c r="G36" s="45"/>
      <c r="H36" s="45"/>
      <c r="I36" s="45"/>
      <c r="J36" s="45"/>
      <c r="K36" s="45"/>
    </row>
    <row r="37" ht="15.75" customHeight="1">
      <c r="A37" s="66" t="s">
        <v>64</v>
      </c>
      <c r="B37" s="114"/>
      <c r="C37" s="115"/>
      <c r="D37" s="116"/>
      <c r="E37" s="116"/>
      <c r="F37" s="45"/>
      <c r="G37" s="45"/>
      <c r="H37" s="45"/>
      <c r="I37" s="45"/>
      <c r="J37" s="45"/>
      <c r="K37" s="45"/>
    </row>
    <row r="38" ht="15.75" customHeight="1">
      <c r="A38" s="72" t="s">
        <v>827</v>
      </c>
      <c r="B38" s="72"/>
      <c r="C38" s="72"/>
      <c r="D38" s="72"/>
      <c r="E38" s="72"/>
      <c r="F38" s="45"/>
      <c r="G38" s="45"/>
      <c r="H38" s="45"/>
      <c r="I38" s="45"/>
      <c r="J38" s="45"/>
      <c r="K38" s="45"/>
    </row>
    <row r="39" ht="15.75" customHeight="1">
      <c r="A39" s="140" t="s">
        <v>847</v>
      </c>
      <c r="B39" s="141"/>
      <c r="C39" s="141"/>
      <c r="D39" s="141"/>
      <c r="E39" s="141"/>
      <c r="F39" s="45"/>
      <c r="G39" s="45"/>
      <c r="H39" s="45"/>
      <c r="I39" s="45"/>
      <c r="J39" s="45"/>
      <c r="K39" s="45"/>
    </row>
    <row r="40" ht="15.75" customHeight="1">
      <c r="A40" s="72" t="s">
        <v>849</v>
      </c>
      <c r="B40" s="72"/>
      <c r="C40" s="72"/>
      <c r="D40" s="72"/>
      <c r="E40" s="72"/>
      <c r="F40" s="45"/>
      <c r="G40" s="45"/>
      <c r="H40" s="45"/>
      <c r="I40" s="45"/>
      <c r="J40" s="45"/>
      <c r="K40" s="45"/>
    </row>
    <row r="41" ht="18.0" customHeight="1">
      <c r="A41" s="129"/>
      <c r="D41" s="130"/>
      <c r="E41" s="130"/>
      <c r="F41" s="130"/>
      <c r="G41" s="130"/>
      <c r="H41" s="130"/>
      <c r="I41" s="130"/>
      <c r="J41" s="130"/>
      <c r="K41" s="130"/>
    </row>
    <row r="42" ht="18.0" customHeight="1">
      <c r="A42" s="129"/>
      <c r="B42" s="129"/>
      <c r="C42" s="129"/>
      <c r="D42" s="130"/>
      <c r="E42" s="130"/>
      <c r="F42" s="130"/>
      <c r="G42" s="130"/>
      <c r="H42" s="130"/>
      <c r="I42" s="130"/>
      <c r="J42" s="130"/>
      <c r="K42" s="130"/>
    </row>
    <row r="43" ht="18.0" customHeight="1">
      <c r="A43" s="131" t="s">
        <v>12</v>
      </c>
      <c r="B43" s="31" t="s">
        <v>16</v>
      </c>
      <c r="C43" s="31" t="s">
        <v>20</v>
      </c>
      <c r="D43" s="41"/>
      <c r="E43" s="38"/>
    </row>
    <row r="44" ht="18.0" customHeight="1">
      <c r="A44" s="327"/>
      <c r="B44" s="64"/>
      <c r="C44" s="53"/>
      <c r="D44" s="55"/>
      <c r="E44" s="47"/>
    </row>
    <row r="45" ht="18.0" customHeight="1">
      <c r="A45" s="63"/>
      <c r="B45" s="64"/>
      <c r="C45" s="53"/>
      <c r="D45" s="55"/>
      <c r="E45" s="47"/>
    </row>
    <row r="46" ht="18.0" customHeight="1">
      <c r="A46" s="132" t="s">
        <v>62</v>
      </c>
      <c r="B46" s="133"/>
      <c r="C46" s="134"/>
      <c r="D46" s="135"/>
      <c r="E46" s="136"/>
    </row>
    <row r="47" ht="15.75" customHeight="1">
      <c r="A47" s="137" t="s">
        <v>64</v>
      </c>
      <c r="B47" s="138"/>
      <c r="C47" s="138"/>
      <c r="D47" s="138"/>
      <c r="E47" s="138"/>
      <c r="F47" s="139"/>
      <c r="G47" s="139"/>
      <c r="H47" s="139"/>
      <c r="I47" s="139"/>
      <c r="J47" s="139"/>
      <c r="K47" s="139"/>
    </row>
    <row r="48" ht="15.75" customHeight="1">
      <c r="A48" s="143"/>
      <c r="B48" s="141"/>
      <c r="C48" s="141"/>
      <c r="D48" s="141"/>
      <c r="E48" s="141"/>
      <c r="F48" s="139"/>
      <c r="G48" s="139"/>
      <c r="H48" s="139"/>
      <c r="I48" s="139"/>
      <c r="J48" s="139"/>
      <c r="K48" s="139"/>
    </row>
    <row r="49" ht="15.75" customHeight="1">
      <c r="A49" s="143"/>
      <c r="B49" s="143"/>
      <c r="C49" s="143"/>
      <c r="D49" s="143"/>
      <c r="E49" s="143"/>
      <c r="F49" s="139"/>
      <c r="G49" s="139"/>
      <c r="H49" s="139"/>
      <c r="I49" s="139"/>
      <c r="J49" s="139"/>
      <c r="K49" s="139"/>
    </row>
    <row r="50" ht="15.75" customHeight="1">
      <c r="A50" s="143"/>
      <c r="B50" s="143"/>
      <c r="C50" s="143"/>
      <c r="D50" s="143"/>
      <c r="E50" s="143"/>
      <c r="F50" s="139"/>
      <c r="G50" s="139"/>
      <c r="H50" s="139"/>
      <c r="I50" s="139"/>
      <c r="J50" s="139"/>
      <c r="K50" s="139"/>
    </row>
    <row r="51" ht="15.75" customHeight="1">
      <c r="A51" s="143"/>
      <c r="B51" s="141"/>
      <c r="C51" s="141"/>
      <c r="D51" s="141"/>
      <c r="E51" s="141"/>
      <c r="F51" s="139"/>
      <c r="G51" s="139"/>
      <c r="H51" s="139"/>
      <c r="I51" s="139"/>
      <c r="J51" s="139"/>
      <c r="K51" s="139"/>
    </row>
    <row r="52" ht="15.75" customHeight="1">
      <c r="A52" s="143"/>
      <c r="B52" s="143"/>
      <c r="C52" s="143"/>
      <c r="D52" s="143"/>
      <c r="E52" s="143"/>
      <c r="F52" s="139"/>
      <c r="G52" s="139"/>
      <c r="H52" s="139"/>
      <c r="I52" s="139"/>
      <c r="J52" s="139"/>
      <c r="K52" s="139"/>
    </row>
    <row r="53" ht="15.75" customHeight="1">
      <c r="A53" s="146"/>
      <c r="B53" s="149"/>
      <c r="C53" s="150"/>
      <c r="D53" s="151"/>
      <c r="E53" s="152"/>
    </row>
    <row r="54" ht="15.75" customHeight="1">
      <c r="A54" s="146"/>
      <c r="B54" s="149"/>
      <c r="C54" s="150"/>
      <c r="D54" s="151"/>
      <c r="E54" s="152"/>
    </row>
    <row r="55" ht="15.75" customHeight="1">
      <c r="A55" s="146"/>
      <c r="B55" s="149"/>
      <c r="C55" s="150"/>
      <c r="D55" s="151"/>
      <c r="E55" s="152"/>
    </row>
    <row r="56" ht="15.75" customHeight="1">
      <c r="A56" s="146"/>
      <c r="B56" s="149"/>
      <c r="C56" s="150"/>
      <c r="D56" s="151"/>
      <c r="E56" s="152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49"/>
      <c r="C59" s="150"/>
      <c r="D59" s="151"/>
      <c r="E59" s="152"/>
    </row>
    <row r="60" ht="15.75" customHeight="1">
      <c r="A60" s="146"/>
      <c r="B60" s="159"/>
      <c r="C60" s="160"/>
      <c r="D60" s="149"/>
      <c r="E60" s="161"/>
    </row>
    <row r="61" ht="15.75" customHeight="1">
      <c r="A61" s="162"/>
      <c r="B61" s="163"/>
      <c r="C61" s="163"/>
      <c r="D61" s="163"/>
      <c r="E61" s="152"/>
    </row>
    <row r="62" ht="15.75" customHeight="1">
      <c r="A62" s="164"/>
      <c r="B62" s="5"/>
      <c r="C62" s="130"/>
      <c r="D62" s="130"/>
      <c r="E62" s="165"/>
    </row>
    <row r="63" ht="15.75" customHeight="1">
      <c r="A63" s="164"/>
      <c r="B63" s="5"/>
      <c r="C63" s="130"/>
      <c r="D63" s="130"/>
      <c r="E63" s="165"/>
    </row>
    <row r="64" ht="15.75" customHeight="1">
      <c r="A64" s="164"/>
      <c r="B64" s="5"/>
      <c r="C64" s="130"/>
      <c r="D64" s="130"/>
      <c r="E64" s="165"/>
    </row>
    <row r="65" ht="15.75" customHeight="1">
      <c r="A65" s="164"/>
      <c r="B65" s="5"/>
      <c r="C65" s="130"/>
      <c r="D65" s="130"/>
      <c r="E65" s="165"/>
    </row>
    <row r="66" ht="15.75" customHeight="1">
      <c r="A66" s="164"/>
      <c r="B66" s="5"/>
      <c r="C66" s="130"/>
      <c r="D66" s="130"/>
      <c r="E66" s="165"/>
    </row>
    <row r="67" ht="15.75" customHeight="1">
      <c r="A67" s="164"/>
      <c r="B67" s="5"/>
      <c r="C67" s="130"/>
      <c r="D67" s="130"/>
      <c r="E67" s="165"/>
    </row>
    <row r="68" ht="15.75" customHeight="1">
      <c r="A68" s="164"/>
      <c r="B68" s="5"/>
      <c r="C68" s="130"/>
      <c r="D68" s="130"/>
      <c r="E68" s="165"/>
    </row>
    <row r="69" ht="15.75" customHeight="1">
      <c r="A69" s="166"/>
      <c r="B69" s="167"/>
      <c r="C69" s="168"/>
      <c r="D69" s="168"/>
      <c r="E69" s="169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19:E19"/>
    <mergeCell ref="A21:C21"/>
    <mergeCell ref="D23:E23"/>
    <mergeCell ref="D24:E24"/>
    <mergeCell ref="D25:E25"/>
    <mergeCell ref="A30:C30"/>
    <mergeCell ref="D31:E31"/>
    <mergeCell ref="D32:E32"/>
    <mergeCell ref="D35:E35"/>
    <mergeCell ref="A39:E39"/>
    <mergeCell ref="A41:C41"/>
    <mergeCell ref="D43:E43"/>
    <mergeCell ref="D55:E55"/>
    <mergeCell ref="D56:E56"/>
    <mergeCell ref="D57:E57"/>
    <mergeCell ref="D58:E58"/>
    <mergeCell ref="D59:E59"/>
    <mergeCell ref="A61:E61"/>
    <mergeCell ref="D44:E44"/>
    <mergeCell ref="D45:E45"/>
    <mergeCell ref="A47:E47"/>
    <mergeCell ref="A48:E48"/>
    <mergeCell ref="A51:E51"/>
    <mergeCell ref="D53:E53"/>
    <mergeCell ref="D54:E54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828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829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830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831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832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833</v>
      </c>
      <c r="B11" s="64">
        <v>40.0</v>
      </c>
      <c r="C11" s="53" t="s">
        <v>112</v>
      </c>
      <c r="D11" s="55" t="s">
        <v>668</v>
      </c>
      <c r="E11" s="47"/>
      <c r="F11" s="45"/>
      <c r="G11" s="45"/>
      <c r="H11" s="45"/>
      <c r="I11" s="45"/>
      <c r="J11" s="45"/>
      <c r="K11" s="45"/>
    </row>
    <row r="12">
      <c r="A12" s="63" t="s">
        <v>834</v>
      </c>
      <c r="B12" s="64">
        <v>40.0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41</v>
      </c>
      <c r="B13" s="64">
        <v>15.0</v>
      </c>
      <c r="C13" s="53" t="s">
        <v>25</v>
      </c>
      <c r="D13" s="55"/>
      <c r="E13" s="61"/>
      <c r="F13" s="45"/>
      <c r="G13" s="45"/>
      <c r="H13" s="45"/>
      <c r="I13" s="45"/>
      <c r="J13" s="45"/>
      <c r="K13" s="45"/>
    </row>
    <row r="14">
      <c r="A14" s="63" t="s">
        <v>611</v>
      </c>
      <c r="B14" s="64">
        <v>10.0</v>
      </c>
      <c r="C14" s="53" t="s">
        <v>25</v>
      </c>
      <c r="D14" s="55"/>
      <c r="E14" s="47"/>
      <c r="F14" s="45"/>
      <c r="G14" s="45"/>
      <c r="H14" s="45"/>
      <c r="I14" s="45"/>
      <c r="J14" s="45"/>
      <c r="K14" s="45"/>
    </row>
    <row r="15">
      <c r="A15" s="63" t="s">
        <v>835</v>
      </c>
      <c r="B15" s="64">
        <v>70.0</v>
      </c>
      <c r="C15" s="53" t="s">
        <v>112</v>
      </c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128" t="s">
        <v>836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 t="s">
        <v>837</v>
      </c>
      <c r="B19" s="128"/>
      <c r="C19" s="128"/>
      <c r="D19" s="128"/>
      <c r="E19" s="128"/>
      <c r="F19" s="45"/>
      <c r="G19" s="45"/>
      <c r="H19" s="45"/>
      <c r="I19" s="45"/>
      <c r="J19" s="45"/>
      <c r="K19" s="45"/>
    </row>
    <row r="20">
      <c r="A20" s="128" t="s">
        <v>838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839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840</v>
      </c>
      <c r="B24" s="97">
        <v>0.5</v>
      </c>
      <c r="C24" s="99"/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841</v>
      </c>
      <c r="B25" s="97">
        <v>0.4</v>
      </c>
      <c r="C25" s="99"/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63" t="s">
        <v>842</v>
      </c>
      <c r="B26" s="97">
        <v>0.4</v>
      </c>
      <c r="C26" s="99"/>
      <c r="D26" s="55"/>
      <c r="E26" s="55" t="s">
        <v>668</v>
      </c>
      <c r="F26" s="45"/>
      <c r="G26" s="45"/>
      <c r="H26" s="45"/>
      <c r="I26" s="45"/>
      <c r="J26" s="45"/>
      <c r="K26" s="45"/>
    </row>
    <row r="27" ht="15.75" customHeight="1">
      <c r="A27" s="63" t="s">
        <v>843</v>
      </c>
      <c r="B27" s="97">
        <v>0.25</v>
      </c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1.55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844</v>
      </c>
      <c r="B31" s="118"/>
      <c r="C31" s="120"/>
      <c r="D31" s="121" t="s">
        <v>845</v>
      </c>
      <c r="F31" s="45"/>
      <c r="G31" s="45"/>
      <c r="H31" s="45"/>
      <c r="I31" s="45"/>
      <c r="J31" s="45"/>
      <c r="K31" s="45"/>
    </row>
    <row r="32" ht="15.75" customHeight="1">
      <c r="A32" s="79" t="s">
        <v>846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85"/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28" t="s">
        <v>848</v>
      </c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32" t="s">
        <v>12</v>
      </c>
      <c r="B36" s="34" t="s">
        <v>16</v>
      </c>
      <c r="C36" s="34" t="s">
        <v>20</v>
      </c>
      <c r="D36" s="41" t="s">
        <v>22</v>
      </c>
      <c r="E36" s="38"/>
      <c r="F36" s="45"/>
      <c r="G36" s="45"/>
      <c r="H36" s="45"/>
      <c r="I36" s="45"/>
      <c r="J36" s="45"/>
      <c r="K36" s="45"/>
    </row>
    <row r="37" ht="15.75" customHeight="1">
      <c r="A37" s="63" t="s">
        <v>850</v>
      </c>
      <c r="B37" s="97">
        <v>1.0</v>
      </c>
      <c r="C37" s="99" t="s">
        <v>58</v>
      </c>
      <c r="D37" s="55"/>
      <c r="E37" s="47"/>
      <c r="F37" s="45"/>
      <c r="G37" s="45"/>
      <c r="H37" s="45"/>
      <c r="I37" s="45"/>
      <c r="J37" s="45"/>
      <c r="K37" s="45"/>
    </row>
    <row r="38" ht="15.75" customHeight="1">
      <c r="A38" s="63" t="s">
        <v>737</v>
      </c>
      <c r="B38" s="97">
        <v>0.6</v>
      </c>
      <c r="C38" s="99" t="s">
        <v>63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66" t="s">
        <v>62</v>
      </c>
      <c r="B40" s="111">
        <v>1.4</v>
      </c>
      <c r="C40" s="113" t="s">
        <v>58</v>
      </c>
      <c r="D40" s="71"/>
      <c r="E40" s="71"/>
      <c r="F40" s="45"/>
      <c r="G40" s="45"/>
      <c r="H40" s="45"/>
      <c r="I40" s="45"/>
      <c r="J40" s="45"/>
      <c r="K40" s="45"/>
    </row>
    <row r="41" ht="15.75" customHeight="1">
      <c r="A41" s="66" t="s">
        <v>64</v>
      </c>
      <c r="B41" s="114"/>
      <c r="C41" s="115"/>
      <c r="D41" s="116"/>
      <c r="E41" s="116"/>
      <c r="F41" s="45"/>
      <c r="G41" s="45"/>
      <c r="H41" s="45"/>
      <c r="I41" s="45"/>
      <c r="J41" s="45"/>
      <c r="K41" s="45"/>
    </row>
    <row r="42" ht="15.75" customHeight="1">
      <c r="A42" s="128" t="s">
        <v>851</v>
      </c>
      <c r="B42" s="128"/>
      <c r="C42" s="128"/>
      <c r="D42" s="128"/>
      <c r="E42" s="128"/>
      <c r="F42" s="45"/>
      <c r="G42" s="45"/>
      <c r="H42" s="45"/>
      <c r="I42" s="45"/>
      <c r="J42" s="45"/>
      <c r="K42" s="45"/>
    </row>
    <row r="43" ht="15.75" customHeight="1">
      <c r="A43" s="347" t="s">
        <v>852</v>
      </c>
      <c r="B43" s="141"/>
      <c r="C43" s="141"/>
      <c r="D43" s="141"/>
      <c r="E43" s="141"/>
      <c r="F43" s="45"/>
      <c r="G43" s="45"/>
      <c r="H43" s="45"/>
      <c r="I43" s="45"/>
      <c r="J43" s="45"/>
      <c r="K43" s="45"/>
    </row>
    <row r="44" ht="18.0" customHeight="1">
      <c r="A44" s="129"/>
      <c r="D44" s="130"/>
      <c r="E44" s="130"/>
      <c r="F44" s="130"/>
      <c r="G44" s="130"/>
      <c r="H44" s="130"/>
      <c r="I44" s="130"/>
      <c r="J44" s="130"/>
      <c r="K44" s="130"/>
    </row>
    <row r="45" ht="18.0" customHeight="1">
      <c r="A45" s="28" t="s">
        <v>853</v>
      </c>
      <c r="B45" s="129"/>
      <c r="C45" s="129"/>
      <c r="D45" s="130"/>
      <c r="E45" s="130"/>
      <c r="F45" s="130"/>
      <c r="G45" s="130"/>
      <c r="H45" s="130"/>
      <c r="I45" s="130"/>
      <c r="J45" s="130"/>
      <c r="K45" s="130"/>
    </row>
    <row r="46" ht="18.0" customHeight="1">
      <c r="A46" s="131" t="s">
        <v>12</v>
      </c>
      <c r="B46" s="31" t="s">
        <v>16</v>
      </c>
      <c r="C46" s="31" t="s">
        <v>20</v>
      </c>
      <c r="D46" s="41"/>
      <c r="E46" s="38"/>
    </row>
    <row r="47" ht="18.0" customHeight="1">
      <c r="A47" s="63" t="s">
        <v>854</v>
      </c>
      <c r="B47" s="64">
        <v>0.6</v>
      </c>
      <c r="C47" s="53" t="s">
        <v>60</v>
      </c>
      <c r="D47" s="55"/>
      <c r="E47" s="47"/>
    </row>
    <row r="48" ht="18.0" customHeight="1">
      <c r="A48" s="63" t="s">
        <v>767</v>
      </c>
      <c r="B48" s="64">
        <v>0.45</v>
      </c>
      <c r="C48" s="53" t="s">
        <v>58</v>
      </c>
      <c r="D48" s="55"/>
      <c r="E48" s="55"/>
    </row>
    <row r="49" ht="18.0" customHeight="1">
      <c r="A49" s="63" t="s">
        <v>788</v>
      </c>
      <c r="B49" s="64">
        <v>0.15</v>
      </c>
      <c r="C49" s="53" t="s">
        <v>58</v>
      </c>
      <c r="D49" s="55"/>
      <c r="E49" s="55"/>
    </row>
    <row r="50" ht="18.0" customHeight="1">
      <c r="A50" s="63" t="s">
        <v>855</v>
      </c>
      <c r="B50" s="64">
        <v>0.027</v>
      </c>
      <c r="C50" s="53" t="s">
        <v>74</v>
      </c>
      <c r="D50" s="55"/>
      <c r="E50" s="55"/>
    </row>
    <row r="51" ht="18.0" customHeight="1">
      <c r="A51" s="327"/>
      <c r="B51" s="64"/>
      <c r="C51" s="53"/>
      <c r="D51" s="55"/>
      <c r="E51" s="55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>
        <v>1.15</v>
      </c>
      <c r="C53" s="134" t="s">
        <v>58</v>
      </c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 t="s">
        <v>856</v>
      </c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 t="s">
        <v>857</v>
      </c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 t="s">
        <v>718</v>
      </c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 t="s">
        <v>858</v>
      </c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143"/>
      <c r="B59" s="143"/>
      <c r="C59" s="143"/>
      <c r="D59" s="143"/>
      <c r="E59" s="143"/>
      <c r="F59" s="139"/>
      <c r="G59" s="139"/>
      <c r="H59" s="139"/>
      <c r="I59" s="139"/>
      <c r="J59" s="139"/>
      <c r="K59" s="139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49"/>
      <c r="C65" s="150"/>
      <c r="D65" s="151"/>
      <c r="E65" s="152"/>
    </row>
    <row r="66" ht="15.75" customHeight="1">
      <c r="A66" s="146"/>
      <c r="B66" s="149"/>
      <c r="C66" s="150"/>
      <c r="D66" s="151"/>
      <c r="E66" s="152"/>
    </row>
    <row r="67" ht="15.75" customHeight="1">
      <c r="A67" s="146"/>
      <c r="B67" s="159"/>
      <c r="C67" s="160"/>
      <c r="D67" s="149"/>
      <c r="E67" s="161"/>
    </row>
    <row r="68" ht="15.75" customHeight="1">
      <c r="A68" s="162"/>
      <c r="B68" s="163"/>
      <c r="C68" s="163"/>
      <c r="D68" s="163"/>
      <c r="E68" s="152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4"/>
      <c r="B74" s="5"/>
      <c r="C74" s="130"/>
      <c r="D74" s="130"/>
      <c r="E74" s="165"/>
    </row>
    <row r="75" ht="15.75" customHeight="1">
      <c r="A75" s="164"/>
      <c r="B75" s="5"/>
      <c r="C75" s="130"/>
      <c r="D75" s="130"/>
      <c r="E75" s="165"/>
    </row>
    <row r="76" ht="15.75" customHeight="1">
      <c r="A76" s="166"/>
      <c r="B76" s="167"/>
      <c r="C76" s="168"/>
      <c r="D76" s="168"/>
      <c r="E76" s="169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4:E14"/>
    <mergeCell ref="A18:E18"/>
    <mergeCell ref="A20:E20"/>
    <mergeCell ref="A21:C21"/>
    <mergeCell ref="D23:E23"/>
    <mergeCell ref="D24:E24"/>
    <mergeCell ref="D28:E28"/>
    <mergeCell ref="D31:E31"/>
    <mergeCell ref="A35:C35"/>
    <mergeCell ref="D36:E36"/>
    <mergeCell ref="D37:E37"/>
    <mergeCell ref="D39:E39"/>
    <mergeCell ref="A43:E43"/>
    <mergeCell ref="A44:C44"/>
    <mergeCell ref="D61:E61"/>
    <mergeCell ref="D62:E62"/>
    <mergeCell ref="D63:E63"/>
    <mergeCell ref="D64:E64"/>
    <mergeCell ref="D65:E65"/>
    <mergeCell ref="D66:E66"/>
    <mergeCell ref="A68:E68"/>
    <mergeCell ref="D46:E46"/>
    <mergeCell ref="D47:E47"/>
    <mergeCell ref="D52:E52"/>
    <mergeCell ref="A54:E54"/>
    <mergeCell ref="A55:E55"/>
    <mergeCell ref="A58:E58"/>
    <mergeCell ref="D60:E60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859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860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861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862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863</v>
      </c>
      <c r="B10" s="64">
        <v>50.0</v>
      </c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812</v>
      </c>
      <c r="B11" s="64">
        <v>20.0</v>
      </c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864</v>
      </c>
      <c r="B12" s="64">
        <v>20.0</v>
      </c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 t="s">
        <v>129</v>
      </c>
      <c r="B13" s="64">
        <v>2.0</v>
      </c>
      <c r="C13" s="53" t="s">
        <v>684</v>
      </c>
      <c r="D13" s="348"/>
      <c r="E13" s="141"/>
      <c r="F13" s="45"/>
      <c r="G13" s="45"/>
      <c r="H13" s="45"/>
      <c r="I13" s="45"/>
      <c r="J13" s="45"/>
      <c r="K13" s="45"/>
    </row>
    <row r="14">
      <c r="A14" s="63"/>
      <c r="B14" s="64"/>
      <c r="C14" s="53"/>
      <c r="D14" s="55"/>
      <c r="E14" s="47"/>
      <c r="F14" s="45"/>
      <c r="G14" s="45"/>
      <c r="H14" s="45"/>
      <c r="I14" s="45"/>
      <c r="J14" s="45"/>
      <c r="K14" s="45"/>
    </row>
    <row r="15">
      <c r="A15" s="63"/>
      <c r="B15" s="64"/>
      <c r="C15" s="53"/>
      <c r="D15" s="55"/>
      <c r="E15" s="55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72" t="s">
        <v>865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72" t="s">
        <v>866</v>
      </c>
      <c r="B19" s="72"/>
      <c r="C19" s="72"/>
      <c r="D19" s="72"/>
      <c r="E19" s="72"/>
      <c r="F19" s="45"/>
      <c r="G19" s="45"/>
      <c r="H19" s="45"/>
      <c r="I19" s="45"/>
      <c r="J19" s="45"/>
      <c r="K19" s="45"/>
    </row>
    <row r="20">
      <c r="A20" s="72" t="s">
        <v>867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868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63" t="s">
        <v>832</v>
      </c>
      <c r="B24" s="97">
        <v>1.0</v>
      </c>
      <c r="C24" s="99" t="s">
        <v>58</v>
      </c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63" t="s">
        <v>869</v>
      </c>
      <c r="B25" s="97">
        <v>0.1</v>
      </c>
      <c r="C25" s="99" t="s">
        <v>60</v>
      </c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327"/>
      <c r="B26" s="97"/>
      <c r="C26" s="99"/>
      <c r="D26" s="55"/>
      <c r="E26" s="47"/>
      <c r="F26" s="45"/>
      <c r="G26" s="45"/>
      <c r="H26" s="45"/>
      <c r="I26" s="45"/>
      <c r="J26" s="45"/>
      <c r="K26" s="45"/>
    </row>
    <row r="27" ht="15.75" customHeight="1">
      <c r="A27" s="66" t="s">
        <v>62</v>
      </c>
      <c r="B27" s="111">
        <v>1.0</v>
      </c>
      <c r="C27" s="113" t="s">
        <v>58</v>
      </c>
      <c r="D27" s="71"/>
      <c r="E27" s="71"/>
      <c r="F27" s="45"/>
      <c r="G27" s="45"/>
      <c r="H27" s="45"/>
      <c r="I27" s="45"/>
      <c r="J27" s="45"/>
      <c r="K27" s="45"/>
    </row>
    <row r="28" ht="15.75" customHeight="1">
      <c r="A28" s="66" t="s">
        <v>64</v>
      </c>
      <c r="B28" s="114"/>
      <c r="C28" s="115"/>
      <c r="D28" s="116"/>
      <c r="E28" s="116"/>
      <c r="F28" s="45"/>
      <c r="G28" s="45"/>
      <c r="H28" s="45"/>
      <c r="I28" s="45"/>
      <c r="J28" s="45"/>
      <c r="K28" s="45"/>
    </row>
    <row r="29" ht="15.75" customHeight="1">
      <c r="A29" s="79" t="s">
        <v>870</v>
      </c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79" t="s">
        <v>871</v>
      </c>
      <c r="B30" s="118"/>
      <c r="C30" s="120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79" t="s">
        <v>873</v>
      </c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79" t="s">
        <v>874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85"/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28" t="s">
        <v>875</v>
      </c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32" t="s">
        <v>12</v>
      </c>
      <c r="B35" s="34" t="s">
        <v>16</v>
      </c>
      <c r="C35" s="34" t="s">
        <v>20</v>
      </c>
      <c r="D35" s="41" t="s">
        <v>22</v>
      </c>
      <c r="E35" s="38"/>
      <c r="F35" s="45"/>
      <c r="G35" s="45"/>
      <c r="H35" s="45"/>
      <c r="I35" s="45"/>
      <c r="J35" s="45"/>
      <c r="K35" s="45"/>
    </row>
    <row r="36" ht="15.75" customHeight="1">
      <c r="A36" s="63" t="s">
        <v>877</v>
      </c>
      <c r="B36" s="97">
        <v>0.1</v>
      </c>
      <c r="C36" s="99" t="s">
        <v>60</v>
      </c>
      <c r="D36" s="55"/>
      <c r="E36" s="47"/>
      <c r="F36" s="45"/>
      <c r="G36" s="45"/>
      <c r="H36" s="45"/>
      <c r="I36" s="45"/>
      <c r="J36" s="45"/>
      <c r="K36" s="45"/>
    </row>
    <row r="37" ht="15.75" customHeight="1">
      <c r="A37" s="63" t="s">
        <v>737</v>
      </c>
      <c r="B37" s="97">
        <v>0.15</v>
      </c>
      <c r="C37" s="99" t="s">
        <v>58</v>
      </c>
      <c r="D37" s="55"/>
      <c r="E37" s="55"/>
      <c r="F37" s="45"/>
      <c r="G37" s="45"/>
      <c r="H37" s="45"/>
      <c r="I37" s="45"/>
      <c r="J37" s="45"/>
      <c r="K37" s="45"/>
    </row>
    <row r="38" ht="15.75" customHeight="1">
      <c r="A38" s="63" t="s">
        <v>878</v>
      </c>
      <c r="B38" s="97">
        <v>0.05</v>
      </c>
      <c r="C38" s="99" t="s">
        <v>58</v>
      </c>
      <c r="D38" s="55"/>
      <c r="E38" s="55"/>
      <c r="F38" s="45"/>
      <c r="G38" s="45"/>
      <c r="H38" s="45"/>
      <c r="I38" s="45"/>
      <c r="J38" s="45"/>
      <c r="K38" s="45"/>
    </row>
    <row r="39" ht="15.75" customHeight="1">
      <c r="A39" s="63" t="s">
        <v>879</v>
      </c>
      <c r="B39" s="97">
        <v>1.0E-4</v>
      </c>
      <c r="C39" s="99" t="s">
        <v>60</v>
      </c>
      <c r="D39" s="348" t="s">
        <v>880</v>
      </c>
      <c r="E39" s="141"/>
      <c r="F39" s="45"/>
      <c r="G39" s="45"/>
      <c r="H39" s="45"/>
      <c r="I39" s="45"/>
      <c r="J39" s="45"/>
      <c r="K39" s="45"/>
    </row>
    <row r="40" ht="15.75" customHeight="1">
      <c r="A40" s="63" t="s">
        <v>882</v>
      </c>
      <c r="B40" s="97">
        <v>3.0E-4</v>
      </c>
      <c r="C40" s="99" t="s">
        <v>60</v>
      </c>
      <c r="D40" s="348" t="s">
        <v>880</v>
      </c>
      <c r="E40" s="141"/>
      <c r="F40" s="45"/>
      <c r="G40" s="45"/>
      <c r="H40" s="45"/>
      <c r="I40" s="45"/>
      <c r="J40" s="45"/>
      <c r="K40" s="45"/>
    </row>
    <row r="41" ht="15.75" customHeight="1">
      <c r="A41" s="63" t="s">
        <v>883</v>
      </c>
      <c r="B41" s="97">
        <v>0.2</v>
      </c>
      <c r="C41" s="99" t="s">
        <v>58</v>
      </c>
      <c r="D41" s="348" t="s">
        <v>880</v>
      </c>
      <c r="E41" s="141"/>
      <c r="F41" s="45"/>
      <c r="G41" s="45"/>
      <c r="H41" s="45"/>
      <c r="I41" s="45"/>
      <c r="J41" s="45"/>
      <c r="K41" s="45"/>
    </row>
    <row r="42" ht="15.75" customHeight="1">
      <c r="A42" s="63" t="s">
        <v>884</v>
      </c>
      <c r="B42" s="97">
        <v>0.3</v>
      </c>
      <c r="C42" s="99" t="s">
        <v>58</v>
      </c>
      <c r="D42" s="348" t="s">
        <v>880</v>
      </c>
      <c r="E42" s="141"/>
      <c r="F42" s="45"/>
      <c r="G42" s="45"/>
      <c r="H42" s="45"/>
      <c r="I42" s="45"/>
      <c r="J42" s="45"/>
      <c r="K42" s="45"/>
    </row>
    <row r="43" ht="15.75" customHeight="1">
      <c r="A43" s="63"/>
      <c r="B43" s="97"/>
      <c r="C43" s="99"/>
      <c r="D43" s="55"/>
      <c r="E43" s="55"/>
      <c r="F43" s="45"/>
      <c r="G43" s="45"/>
      <c r="H43" s="45"/>
      <c r="I43" s="45"/>
      <c r="J43" s="45"/>
      <c r="K43" s="45"/>
    </row>
    <row r="44" ht="15.75" customHeight="1">
      <c r="A44" s="327"/>
      <c r="B44" s="97"/>
      <c r="C44" s="99"/>
      <c r="D44" s="55"/>
      <c r="E44" s="47"/>
      <c r="F44" s="45"/>
      <c r="G44" s="45"/>
      <c r="H44" s="45"/>
      <c r="I44" s="45"/>
      <c r="J44" s="45"/>
      <c r="K44" s="45"/>
    </row>
    <row r="45" ht="15.75" customHeight="1">
      <c r="A45" s="66" t="s">
        <v>62</v>
      </c>
      <c r="B45" s="111">
        <v>0.2</v>
      </c>
      <c r="C45" s="113" t="s">
        <v>58</v>
      </c>
      <c r="D45" s="71"/>
      <c r="E45" s="71"/>
      <c r="F45" s="45"/>
      <c r="G45" s="45"/>
      <c r="H45" s="45"/>
      <c r="I45" s="45"/>
      <c r="J45" s="45"/>
      <c r="K45" s="45"/>
    </row>
    <row r="46" ht="15.75" customHeight="1">
      <c r="A46" s="66" t="s">
        <v>64</v>
      </c>
      <c r="B46" s="114"/>
      <c r="C46" s="115"/>
      <c r="D46" s="116"/>
      <c r="E46" s="116"/>
      <c r="F46" s="45"/>
      <c r="G46" s="45"/>
      <c r="H46" s="45"/>
      <c r="I46" s="45"/>
      <c r="J46" s="45"/>
      <c r="K46" s="45"/>
    </row>
    <row r="47" ht="15.75" customHeight="1">
      <c r="A47" s="72" t="s">
        <v>891</v>
      </c>
      <c r="B47" s="72"/>
      <c r="C47" s="72"/>
      <c r="D47" s="72"/>
      <c r="E47" s="72"/>
      <c r="F47" s="45"/>
      <c r="G47" s="45"/>
      <c r="H47" s="45"/>
      <c r="I47" s="45"/>
      <c r="J47" s="45"/>
      <c r="K47" s="45"/>
    </row>
    <row r="48" ht="15.75" customHeight="1">
      <c r="A48" s="72" t="s">
        <v>892</v>
      </c>
      <c r="B48" s="72"/>
      <c r="C48" s="72"/>
      <c r="D48" s="72"/>
      <c r="E48" s="72"/>
      <c r="F48" s="45"/>
      <c r="G48" s="45"/>
      <c r="H48" s="45"/>
      <c r="I48" s="45"/>
      <c r="J48" s="45"/>
      <c r="K48" s="45"/>
    </row>
    <row r="49" ht="15.75" customHeight="1">
      <c r="A49" s="72" t="s">
        <v>893</v>
      </c>
      <c r="B49" s="72"/>
      <c r="C49" s="72"/>
      <c r="D49" s="72"/>
      <c r="E49" s="72"/>
      <c r="F49" s="45"/>
      <c r="G49" s="45"/>
      <c r="H49" s="45"/>
      <c r="I49" s="45"/>
      <c r="J49" s="45"/>
      <c r="K49" s="45"/>
    </row>
    <row r="50" ht="15.75" customHeight="1">
      <c r="A50" s="140" t="s">
        <v>894</v>
      </c>
      <c r="B50" s="141"/>
      <c r="C50" s="141"/>
      <c r="D50" s="141"/>
      <c r="E50" s="141"/>
      <c r="F50" s="45"/>
      <c r="G50" s="45"/>
      <c r="H50" s="45"/>
      <c r="I50" s="45"/>
      <c r="J50" s="45"/>
      <c r="K50" s="45"/>
    </row>
    <row r="51" ht="15.75" customHeight="1">
      <c r="A51" s="72" t="s">
        <v>898</v>
      </c>
      <c r="B51" s="72"/>
      <c r="C51" s="72"/>
      <c r="D51" s="72"/>
      <c r="E51" s="72"/>
      <c r="F51" s="45"/>
      <c r="G51" s="45"/>
      <c r="H51" s="45"/>
      <c r="I51" s="45"/>
      <c r="J51" s="45"/>
      <c r="K51" s="45"/>
    </row>
    <row r="52" ht="15.75" customHeight="1">
      <c r="A52" s="72" t="s">
        <v>900</v>
      </c>
      <c r="B52" s="72"/>
      <c r="D52" s="72"/>
      <c r="E52" s="72"/>
      <c r="F52" s="45"/>
      <c r="G52" s="45"/>
      <c r="H52" s="45"/>
      <c r="I52" s="45"/>
      <c r="J52" s="45"/>
      <c r="K52" s="45"/>
    </row>
    <row r="53" ht="15.75" customHeight="1">
      <c r="A53" s="72" t="s">
        <v>902</v>
      </c>
      <c r="B53" s="72"/>
      <c r="C53" s="72"/>
      <c r="D53" s="72"/>
      <c r="E53" s="72"/>
      <c r="F53" s="45"/>
      <c r="G53" s="45"/>
      <c r="H53" s="45"/>
      <c r="I53" s="45"/>
      <c r="J53" s="45"/>
      <c r="K53" s="45"/>
    </row>
    <row r="54" ht="15.75" customHeight="1">
      <c r="A54" s="72" t="s">
        <v>903</v>
      </c>
      <c r="B54" s="72"/>
      <c r="C54" s="72"/>
      <c r="D54" s="72"/>
      <c r="E54" s="72"/>
      <c r="F54" s="45"/>
      <c r="G54" s="45"/>
      <c r="H54" s="45"/>
      <c r="I54" s="45"/>
      <c r="J54" s="45"/>
      <c r="K54" s="45"/>
    </row>
    <row r="55" ht="15.75" customHeight="1">
      <c r="A55" s="72" t="s">
        <v>906</v>
      </c>
      <c r="B55" s="72"/>
      <c r="C55" s="72"/>
      <c r="D55" s="72"/>
      <c r="E55" s="72"/>
      <c r="F55" s="45"/>
      <c r="G55" s="45"/>
      <c r="H55" s="45"/>
      <c r="I55" s="45"/>
      <c r="J55" s="45"/>
      <c r="K55" s="45"/>
    </row>
    <row r="56" ht="18.0" customHeight="1">
      <c r="A56" s="129"/>
      <c r="D56" s="130"/>
      <c r="E56" s="130"/>
      <c r="F56" s="130"/>
      <c r="G56" s="130"/>
      <c r="H56" s="130"/>
      <c r="I56" s="130"/>
      <c r="J56" s="130"/>
      <c r="K56" s="130"/>
    </row>
    <row r="57" ht="18.0" customHeight="1">
      <c r="A57" s="129"/>
      <c r="B57" s="129"/>
      <c r="C57" s="129"/>
      <c r="D57" s="130"/>
      <c r="E57" s="130"/>
      <c r="F57" s="130"/>
      <c r="G57" s="130"/>
      <c r="H57" s="130"/>
      <c r="I57" s="130"/>
      <c r="J57" s="130"/>
      <c r="K57" s="130"/>
    </row>
    <row r="58" ht="18.0" customHeight="1">
      <c r="A58" s="131" t="s">
        <v>12</v>
      </c>
      <c r="B58" s="31" t="s">
        <v>16</v>
      </c>
      <c r="C58" s="31" t="s">
        <v>20</v>
      </c>
      <c r="D58" s="41"/>
      <c r="E58" s="38"/>
    </row>
    <row r="59" ht="18.0" customHeight="1">
      <c r="A59" s="327"/>
      <c r="B59" s="64"/>
      <c r="C59" s="53"/>
      <c r="D59" s="55"/>
      <c r="E59" s="47"/>
    </row>
    <row r="60" ht="18.0" customHeight="1">
      <c r="A60" s="63"/>
      <c r="B60" s="64"/>
      <c r="C60" s="53"/>
      <c r="D60" s="55"/>
      <c r="E60" s="47"/>
    </row>
    <row r="61" ht="18.0" customHeight="1">
      <c r="A61" s="132" t="s">
        <v>62</v>
      </c>
      <c r="B61" s="133"/>
      <c r="C61" s="134"/>
      <c r="D61" s="135"/>
      <c r="E61" s="136"/>
    </row>
    <row r="62" ht="15.75" customHeight="1">
      <c r="A62" s="137" t="s">
        <v>64</v>
      </c>
      <c r="B62" s="138"/>
      <c r="C62" s="138"/>
      <c r="D62" s="138"/>
      <c r="E62" s="138"/>
      <c r="F62" s="139"/>
      <c r="G62" s="139"/>
      <c r="H62" s="139"/>
      <c r="I62" s="139"/>
      <c r="J62" s="139"/>
      <c r="K62" s="139"/>
    </row>
    <row r="63" ht="15.75" customHeight="1">
      <c r="A63" s="143"/>
      <c r="B63" s="141"/>
      <c r="C63" s="141"/>
      <c r="D63" s="141"/>
      <c r="E63" s="141"/>
      <c r="F63" s="139"/>
      <c r="G63" s="139"/>
      <c r="H63" s="139"/>
      <c r="I63" s="139"/>
      <c r="J63" s="139"/>
      <c r="K63" s="139"/>
    </row>
    <row r="64" ht="15.75" customHeight="1">
      <c r="A64" s="143"/>
      <c r="B64" s="143"/>
      <c r="C64" s="143"/>
      <c r="D64" s="143"/>
      <c r="E64" s="143"/>
      <c r="F64" s="139"/>
      <c r="G64" s="139"/>
      <c r="H64" s="139"/>
      <c r="I64" s="139"/>
      <c r="J64" s="139"/>
      <c r="K64" s="139"/>
    </row>
    <row r="65" ht="15.75" customHeight="1">
      <c r="A65" s="143"/>
      <c r="B65" s="143"/>
      <c r="C65" s="143"/>
      <c r="D65" s="143"/>
      <c r="E65" s="143"/>
      <c r="F65" s="139"/>
      <c r="G65" s="139"/>
      <c r="H65" s="139"/>
      <c r="I65" s="139"/>
      <c r="J65" s="139"/>
      <c r="K65" s="139"/>
    </row>
    <row r="66" ht="15.75" customHeight="1">
      <c r="A66" s="143"/>
      <c r="B66" s="141"/>
      <c r="C66" s="141"/>
      <c r="D66" s="141"/>
      <c r="E66" s="141"/>
      <c r="F66" s="139"/>
      <c r="G66" s="139"/>
      <c r="H66" s="139"/>
      <c r="I66" s="139"/>
      <c r="J66" s="139"/>
      <c r="K66" s="139"/>
    </row>
    <row r="67" ht="15.75" customHeight="1">
      <c r="A67" s="143"/>
      <c r="B67" s="143"/>
      <c r="C67" s="143"/>
      <c r="D67" s="143"/>
      <c r="E67" s="143"/>
      <c r="F67" s="139"/>
      <c r="G67" s="139"/>
      <c r="H67" s="139"/>
      <c r="I67" s="139"/>
      <c r="J67" s="139"/>
      <c r="K67" s="139"/>
    </row>
    <row r="68" ht="15.75" customHeight="1">
      <c r="A68" s="146"/>
      <c r="B68" s="149"/>
      <c r="C68" s="150"/>
      <c r="D68" s="151"/>
      <c r="E68" s="152"/>
    </row>
    <row r="69" ht="15.75" customHeight="1">
      <c r="A69" s="146"/>
      <c r="B69" s="149"/>
      <c r="C69" s="150"/>
      <c r="D69" s="151"/>
      <c r="E69" s="152"/>
    </row>
    <row r="70" ht="15.75" customHeight="1">
      <c r="A70" s="146"/>
      <c r="B70" s="149"/>
      <c r="C70" s="150"/>
      <c r="D70" s="151"/>
      <c r="E70" s="152"/>
    </row>
    <row r="71" ht="15.75" customHeight="1">
      <c r="A71" s="146"/>
      <c r="B71" s="149"/>
      <c r="C71" s="150"/>
      <c r="D71" s="151"/>
      <c r="E71" s="152"/>
    </row>
    <row r="72" ht="15.75" customHeight="1">
      <c r="A72" s="146"/>
      <c r="B72" s="149"/>
      <c r="C72" s="150"/>
      <c r="D72" s="151"/>
      <c r="E72" s="152"/>
    </row>
    <row r="73" ht="15.75" customHeight="1">
      <c r="A73" s="146"/>
      <c r="B73" s="149"/>
      <c r="C73" s="150"/>
      <c r="D73" s="151"/>
      <c r="E73" s="152"/>
    </row>
    <row r="74" ht="15.75" customHeight="1">
      <c r="A74" s="146"/>
      <c r="B74" s="149"/>
      <c r="C74" s="150"/>
      <c r="D74" s="151"/>
      <c r="E74" s="152"/>
    </row>
    <row r="75" ht="15.75" customHeight="1">
      <c r="A75" s="146"/>
      <c r="B75" s="159"/>
      <c r="C75" s="160"/>
      <c r="D75" s="149"/>
      <c r="E75" s="161"/>
    </row>
    <row r="76" ht="15.75" customHeight="1">
      <c r="A76" s="162"/>
      <c r="B76" s="163"/>
      <c r="C76" s="163"/>
      <c r="D76" s="163"/>
      <c r="E76" s="152"/>
    </row>
    <row r="77" ht="15.75" customHeight="1">
      <c r="A77" s="164"/>
      <c r="B77" s="5"/>
      <c r="C77" s="130"/>
      <c r="D77" s="130"/>
      <c r="E77" s="165"/>
    </row>
    <row r="78" ht="15.75" customHeight="1">
      <c r="A78" s="164"/>
      <c r="B78" s="5"/>
      <c r="C78" s="130"/>
      <c r="D78" s="130"/>
      <c r="E78" s="165"/>
    </row>
    <row r="79" ht="15.75" customHeight="1">
      <c r="A79" s="164"/>
      <c r="B79" s="5"/>
      <c r="C79" s="130"/>
      <c r="D79" s="130"/>
      <c r="E79" s="165"/>
    </row>
    <row r="80" ht="15.75" customHeight="1">
      <c r="A80" s="164"/>
      <c r="B80" s="5"/>
      <c r="C80" s="130"/>
      <c r="D80" s="130"/>
      <c r="E80" s="165"/>
    </row>
    <row r="81" ht="15.75" customHeight="1">
      <c r="A81" s="164"/>
      <c r="B81" s="5"/>
      <c r="C81" s="130"/>
      <c r="D81" s="130"/>
      <c r="E81" s="165"/>
    </row>
    <row r="82" ht="15.75" customHeight="1">
      <c r="A82" s="164"/>
      <c r="B82" s="5"/>
      <c r="C82" s="130"/>
      <c r="D82" s="130"/>
      <c r="E82" s="165"/>
    </row>
    <row r="83" ht="15.75" customHeight="1">
      <c r="A83" s="164"/>
      <c r="B83" s="5"/>
      <c r="C83" s="130"/>
      <c r="D83" s="130"/>
      <c r="E83" s="165"/>
    </row>
    <row r="84" ht="15.75" customHeight="1">
      <c r="A84" s="166"/>
      <c r="B84" s="167"/>
      <c r="C84" s="168"/>
      <c r="D84" s="168"/>
      <c r="E84" s="169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3:D3"/>
    <mergeCell ref="A5:E5"/>
    <mergeCell ref="A6:C6"/>
    <mergeCell ref="D9:E9"/>
    <mergeCell ref="D10:E10"/>
    <mergeCell ref="D11:E11"/>
    <mergeCell ref="D12:E12"/>
    <mergeCell ref="D13:E13"/>
    <mergeCell ref="D14:E14"/>
    <mergeCell ref="A18:E18"/>
    <mergeCell ref="A20:E20"/>
    <mergeCell ref="D23:E23"/>
    <mergeCell ref="D24:E24"/>
    <mergeCell ref="D26:E26"/>
    <mergeCell ref="A21:C21"/>
    <mergeCell ref="A34:C34"/>
    <mergeCell ref="D35:E35"/>
    <mergeCell ref="D36:E36"/>
    <mergeCell ref="D39:E39"/>
    <mergeCell ref="D40:E40"/>
    <mergeCell ref="D41:E41"/>
    <mergeCell ref="D42:E42"/>
    <mergeCell ref="D44:E44"/>
    <mergeCell ref="A50:E50"/>
    <mergeCell ref="A56:C56"/>
    <mergeCell ref="D58:E58"/>
    <mergeCell ref="D59:E59"/>
    <mergeCell ref="D60:E60"/>
    <mergeCell ref="D72:E72"/>
    <mergeCell ref="D73:E73"/>
    <mergeCell ref="D74:E74"/>
    <mergeCell ref="A76:E76"/>
    <mergeCell ref="A62:E62"/>
    <mergeCell ref="A63:E63"/>
    <mergeCell ref="A66:E66"/>
    <mergeCell ref="D68:E68"/>
    <mergeCell ref="D69:E69"/>
    <mergeCell ref="D70:E70"/>
    <mergeCell ref="D71:E71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872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876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276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881</v>
      </c>
      <c r="B10" s="64">
        <v>140.0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885</v>
      </c>
      <c r="B11" s="64">
        <v>56.0</v>
      </c>
      <c r="C11" s="53" t="s">
        <v>112</v>
      </c>
      <c r="D11" s="55" t="s">
        <v>886</v>
      </c>
      <c r="E11" s="47"/>
      <c r="F11" s="45"/>
      <c r="G11" s="45"/>
      <c r="H11" s="45"/>
      <c r="I11" s="45"/>
      <c r="J11" s="45"/>
      <c r="K11" s="45"/>
    </row>
    <row r="12">
      <c r="A12" s="63" t="s">
        <v>887</v>
      </c>
      <c r="B12" s="64">
        <v>26.0</v>
      </c>
      <c r="C12" s="53" t="s">
        <v>112</v>
      </c>
      <c r="D12" s="55" t="s">
        <v>888</v>
      </c>
      <c r="E12" s="47"/>
      <c r="F12" s="45"/>
      <c r="G12" s="45"/>
      <c r="H12" s="45"/>
      <c r="I12" s="45"/>
      <c r="J12" s="45"/>
      <c r="K12" s="45"/>
    </row>
    <row r="13">
      <c r="A13" s="63" t="s">
        <v>889</v>
      </c>
      <c r="B13" s="64">
        <v>1.0E-4</v>
      </c>
      <c r="C13" s="53" t="s">
        <v>112</v>
      </c>
      <c r="D13" s="348" t="s">
        <v>890</v>
      </c>
      <c r="E13" s="141"/>
      <c r="F13" s="45"/>
      <c r="G13" s="45"/>
      <c r="H13" s="45"/>
      <c r="I13" s="45"/>
      <c r="J13" s="45"/>
      <c r="K13" s="45"/>
    </row>
    <row r="14">
      <c r="A14" s="63"/>
      <c r="B14" s="64"/>
      <c r="C14" s="53"/>
      <c r="D14" s="55"/>
      <c r="E14" s="55"/>
      <c r="F14" s="45"/>
      <c r="G14" s="45"/>
      <c r="H14" s="45"/>
      <c r="I14" s="45"/>
      <c r="J14" s="45"/>
      <c r="K14" s="45"/>
    </row>
    <row r="15">
      <c r="A15" s="66" t="s">
        <v>48</v>
      </c>
      <c r="B15" s="68"/>
      <c r="C15" s="68"/>
      <c r="D15" s="71"/>
      <c r="E15" s="71"/>
      <c r="F15" s="45"/>
      <c r="G15" s="45"/>
      <c r="H15" s="45"/>
      <c r="I15" s="45"/>
      <c r="J15" s="45"/>
      <c r="K15" s="45"/>
    </row>
    <row r="16">
      <c r="A16" s="72" t="s">
        <v>895</v>
      </c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72" t="s">
        <v>896</v>
      </c>
      <c r="B17" s="72"/>
      <c r="C17" s="72"/>
      <c r="D17" s="72"/>
      <c r="E17" s="72"/>
      <c r="F17" s="45"/>
      <c r="G17" s="45"/>
      <c r="H17" s="45"/>
      <c r="I17" s="45"/>
      <c r="J17" s="45"/>
      <c r="K17" s="45"/>
    </row>
    <row r="18">
      <c r="A18" s="72" t="s">
        <v>899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79" t="s">
        <v>901</v>
      </c>
      <c r="B19" s="79"/>
      <c r="C19" s="79"/>
      <c r="D19" s="79"/>
      <c r="E19" s="79"/>
      <c r="F19" s="45"/>
      <c r="G19" s="45"/>
      <c r="H19" s="45"/>
      <c r="I19" s="45"/>
      <c r="J19" s="45"/>
      <c r="K19" s="45"/>
    </row>
    <row r="20">
      <c r="A20" s="79" t="s">
        <v>904</v>
      </c>
      <c r="B20" s="79"/>
      <c r="C20" s="79"/>
      <c r="D20" s="79"/>
      <c r="E20" s="79"/>
      <c r="F20" s="45"/>
      <c r="G20" s="45"/>
      <c r="H20" s="45"/>
      <c r="I20" s="45"/>
      <c r="J20" s="45"/>
      <c r="K20" s="45"/>
    </row>
    <row r="21" ht="15.75" customHeight="1">
      <c r="A21" s="28"/>
      <c r="D21" s="45"/>
      <c r="E21" s="45"/>
      <c r="F21" s="45"/>
      <c r="G21" s="45"/>
      <c r="H21" s="45"/>
      <c r="I21" s="45"/>
      <c r="J21" s="45"/>
      <c r="K21" s="45"/>
    </row>
    <row r="22" ht="15.75" customHeight="1">
      <c r="A22" s="28" t="s">
        <v>907</v>
      </c>
      <c r="B22" s="28"/>
      <c r="C22" s="28"/>
      <c r="D22" s="45"/>
      <c r="E22" s="45"/>
      <c r="F22" s="45"/>
      <c r="G22" s="45"/>
      <c r="H22" s="45"/>
      <c r="I22" s="45"/>
      <c r="J22" s="45"/>
      <c r="K22" s="45"/>
    </row>
    <row r="23" ht="15.75" customHeight="1">
      <c r="A23" s="32" t="s">
        <v>12</v>
      </c>
      <c r="B23" s="34" t="s">
        <v>16</v>
      </c>
      <c r="C23" s="34" t="s">
        <v>20</v>
      </c>
      <c r="D23" s="41" t="s">
        <v>22</v>
      </c>
      <c r="E23" s="38"/>
      <c r="F23" s="45"/>
      <c r="G23" s="45"/>
      <c r="H23" s="45"/>
      <c r="I23" s="45"/>
      <c r="J23" s="45"/>
      <c r="K23" s="45"/>
    </row>
    <row r="24" ht="15.75" customHeight="1">
      <c r="A24" s="352" t="s">
        <v>908</v>
      </c>
      <c r="B24" s="97">
        <v>0.75</v>
      </c>
      <c r="C24" s="99" t="s">
        <v>58</v>
      </c>
      <c r="D24" s="55"/>
      <c r="E24" s="47"/>
      <c r="F24" s="45"/>
      <c r="G24" s="45"/>
      <c r="H24" s="45"/>
      <c r="I24" s="45"/>
      <c r="J24" s="45"/>
      <c r="K24" s="45"/>
    </row>
    <row r="25" ht="15.75" customHeight="1">
      <c r="A25" s="327" t="s">
        <v>910</v>
      </c>
      <c r="B25" s="97">
        <v>0.28</v>
      </c>
      <c r="C25" s="99" t="s">
        <v>60</v>
      </c>
      <c r="D25" s="55"/>
      <c r="E25" s="55"/>
      <c r="F25" s="45"/>
      <c r="G25" s="45"/>
      <c r="H25" s="45"/>
      <c r="I25" s="45"/>
      <c r="J25" s="45"/>
      <c r="K25" s="45"/>
    </row>
    <row r="26" ht="15.75" customHeight="1">
      <c r="A26" s="327" t="s">
        <v>911</v>
      </c>
      <c r="B26" s="97">
        <v>0.13</v>
      </c>
      <c r="C26" s="99" t="s">
        <v>60</v>
      </c>
      <c r="D26" s="55"/>
      <c r="E26" s="55"/>
      <c r="F26" s="45"/>
      <c r="G26" s="45"/>
      <c r="H26" s="45"/>
      <c r="I26" s="45"/>
      <c r="J26" s="45"/>
      <c r="K26" s="45"/>
    </row>
    <row r="27" ht="15.75" customHeight="1">
      <c r="A27" s="327" t="s">
        <v>913</v>
      </c>
      <c r="B27" s="97">
        <v>5.0E-4</v>
      </c>
      <c r="C27" s="99" t="s">
        <v>60</v>
      </c>
      <c r="D27" s="348" t="s">
        <v>914</v>
      </c>
      <c r="E27" s="141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47"/>
      <c r="F28" s="45"/>
      <c r="G28" s="45"/>
      <c r="H28" s="45"/>
      <c r="I28" s="45"/>
      <c r="J28" s="45"/>
      <c r="K28" s="45"/>
    </row>
    <row r="29" ht="15.75" customHeight="1">
      <c r="A29" s="66" t="s">
        <v>62</v>
      </c>
      <c r="B29" s="111">
        <v>0.85</v>
      </c>
      <c r="C29" s="113" t="s">
        <v>58</v>
      </c>
      <c r="D29" s="71"/>
      <c r="E29" s="71"/>
      <c r="F29" s="45"/>
      <c r="G29" s="45"/>
      <c r="H29" s="45"/>
      <c r="I29" s="45"/>
      <c r="J29" s="45"/>
      <c r="K29" s="45"/>
    </row>
    <row r="30" ht="15.75" customHeight="1">
      <c r="A30" s="66" t="s">
        <v>64</v>
      </c>
      <c r="B30" s="114"/>
      <c r="C30" s="115"/>
      <c r="D30" s="116"/>
      <c r="E30" s="116"/>
      <c r="F30" s="45"/>
      <c r="G30" s="45"/>
      <c r="H30" s="45"/>
      <c r="I30" s="45"/>
      <c r="J30" s="45"/>
      <c r="K30" s="45"/>
    </row>
    <row r="31" ht="15.75" customHeight="1">
      <c r="A31" s="79" t="s">
        <v>917</v>
      </c>
      <c r="B31" s="118"/>
      <c r="C31" s="120"/>
      <c r="D31" s="121"/>
      <c r="E31" s="121"/>
      <c r="F31" s="45"/>
      <c r="G31" s="45"/>
      <c r="H31" s="45"/>
      <c r="I31" s="45"/>
      <c r="J31" s="45"/>
      <c r="K31" s="45"/>
    </row>
    <row r="32" ht="15.75" customHeight="1">
      <c r="A32" s="79" t="s">
        <v>919</v>
      </c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79" t="s">
        <v>921</v>
      </c>
      <c r="B33" s="118"/>
      <c r="C33" s="120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79" t="s">
        <v>923</v>
      </c>
      <c r="B34" s="118"/>
      <c r="C34" s="120"/>
      <c r="D34" s="121"/>
      <c r="E34" s="121"/>
      <c r="F34" s="45"/>
      <c r="G34" s="45"/>
      <c r="H34" s="45"/>
      <c r="I34" s="45"/>
      <c r="J34" s="45"/>
      <c r="K34" s="45"/>
    </row>
    <row r="35" ht="15.75" customHeight="1">
      <c r="A35" s="79" t="s">
        <v>657</v>
      </c>
      <c r="B35" s="118"/>
      <c r="C35" s="120"/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85"/>
      <c r="B36" s="118"/>
      <c r="C36" s="120"/>
      <c r="D36" s="121"/>
      <c r="E36" s="121"/>
      <c r="F36" s="45"/>
      <c r="G36" s="45"/>
      <c r="H36" s="45"/>
      <c r="I36" s="45"/>
      <c r="J36" s="45"/>
      <c r="K36" s="45"/>
    </row>
    <row r="37" ht="15.75" customHeight="1">
      <c r="A37" s="28"/>
      <c r="D37" s="121"/>
      <c r="E37" s="121"/>
      <c r="F37" s="45"/>
      <c r="G37" s="45"/>
      <c r="H37" s="45"/>
      <c r="I37" s="45"/>
      <c r="J37" s="45"/>
      <c r="K37" s="45"/>
    </row>
    <row r="38" ht="15.75" customHeight="1">
      <c r="A38" s="32" t="s">
        <v>12</v>
      </c>
      <c r="B38" s="34" t="s">
        <v>16</v>
      </c>
      <c r="C38" s="34" t="s">
        <v>20</v>
      </c>
      <c r="D38" s="41" t="s">
        <v>22</v>
      </c>
      <c r="E38" s="38"/>
      <c r="F38" s="45"/>
      <c r="G38" s="45"/>
      <c r="H38" s="45"/>
      <c r="I38" s="45"/>
      <c r="J38" s="45"/>
      <c r="K38" s="45"/>
    </row>
    <row r="39" ht="15.75" customHeight="1">
      <c r="A39" s="327"/>
      <c r="B39" s="97"/>
      <c r="C39" s="99"/>
      <c r="D39" s="55"/>
      <c r="E39" s="47"/>
      <c r="F39" s="45"/>
      <c r="G39" s="45"/>
      <c r="H39" s="45"/>
      <c r="I39" s="45"/>
      <c r="J39" s="45"/>
      <c r="K39" s="45"/>
    </row>
    <row r="40" ht="15.75" customHeight="1">
      <c r="A40" s="327"/>
      <c r="B40" s="97"/>
      <c r="C40" s="99"/>
      <c r="D40" s="55"/>
      <c r="E40" s="47"/>
      <c r="F40" s="45"/>
      <c r="G40" s="45"/>
      <c r="H40" s="45"/>
      <c r="I40" s="45"/>
      <c r="J40" s="45"/>
      <c r="K40" s="45"/>
    </row>
    <row r="41" ht="15.75" customHeight="1">
      <c r="A41" s="66" t="s">
        <v>62</v>
      </c>
      <c r="B41" s="111"/>
      <c r="C41" s="113"/>
      <c r="D41" s="71"/>
      <c r="E41" s="71"/>
      <c r="F41" s="45"/>
      <c r="G41" s="45"/>
      <c r="H41" s="45"/>
      <c r="I41" s="45"/>
      <c r="J41" s="45"/>
      <c r="K41" s="45"/>
    </row>
    <row r="42" ht="15.75" customHeight="1">
      <c r="A42" s="66" t="s">
        <v>64</v>
      </c>
      <c r="B42" s="114"/>
      <c r="C42" s="115"/>
      <c r="D42" s="116"/>
      <c r="E42" s="116"/>
      <c r="F42" s="45"/>
      <c r="G42" s="45"/>
      <c r="H42" s="45"/>
      <c r="I42" s="45"/>
      <c r="J42" s="45"/>
      <c r="K42" s="45"/>
    </row>
    <row r="43" ht="15.75" customHeight="1">
      <c r="A43" s="128"/>
      <c r="B43" s="128"/>
      <c r="C43" s="128"/>
      <c r="D43" s="128"/>
      <c r="E43" s="128"/>
      <c r="F43" s="45"/>
      <c r="G43" s="45"/>
      <c r="H43" s="45"/>
      <c r="I43" s="45"/>
      <c r="J43" s="45"/>
      <c r="K43" s="45"/>
    </row>
    <row r="44" ht="15.75" customHeight="1">
      <c r="A44" s="347"/>
      <c r="B44" s="141"/>
      <c r="C44" s="141"/>
      <c r="D44" s="141"/>
      <c r="E44" s="141"/>
      <c r="F44" s="45"/>
      <c r="G44" s="45"/>
      <c r="H44" s="45"/>
      <c r="I44" s="45"/>
      <c r="J44" s="45"/>
      <c r="K44" s="45"/>
    </row>
    <row r="45" ht="15.75" customHeight="1">
      <c r="A45" s="128"/>
      <c r="B45" s="128"/>
      <c r="C45" s="128"/>
      <c r="D45" s="128"/>
      <c r="E45" s="128"/>
      <c r="F45" s="45"/>
      <c r="G45" s="45"/>
      <c r="H45" s="45"/>
      <c r="I45" s="45"/>
      <c r="J45" s="45"/>
      <c r="K45" s="45"/>
    </row>
    <row r="46" ht="18.0" customHeight="1">
      <c r="A46" s="129"/>
      <c r="D46" s="130"/>
      <c r="E46" s="130"/>
      <c r="F46" s="130"/>
      <c r="G46" s="130"/>
      <c r="H46" s="130"/>
      <c r="I46" s="130"/>
      <c r="J46" s="130"/>
      <c r="K46" s="130"/>
    </row>
    <row r="47" ht="18.0" customHeight="1">
      <c r="A47" s="129"/>
      <c r="B47" s="129"/>
      <c r="C47" s="129"/>
      <c r="D47" s="130"/>
      <c r="E47" s="130"/>
      <c r="F47" s="130"/>
      <c r="G47" s="130"/>
      <c r="H47" s="130"/>
      <c r="I47" s="130"/>
      <c r="J47" s="130"/>
      <c r="K47" s="130"/>
    </row>
    <row r="48" ht="18.0" customHeight="1">
      <c r="A48" s="131" t="s">
        <v>12</v>
      </c>
      <c r="B48" s="31" t="s">
        <v>16</v>
      </c>
      <c r="C48" s="31" t="s">
        <v>20</v>
      </c>
      <c r="D48" s="41"/>
      <c r="E48" s="38"/>
    </row>
    <row r="49" ht="18.0" customHeight="1">
      <c r="A49" s="327"/>
      <c r="B49" s="64"/>
      <c r="C49" s="53"/>
      <c r="D49" s="55"/>
      <c r="E49" s="47"/>
    </row>
    <row r="50" ht="18.0" customHeight="1">
      <c r="A50" s="63"/>
      <c r="B50" s="64"/>
      <c r="C50" s="53"/>
      <c r="D50" s="55"/>
      <c r="E50" s="47"/>
    </row>
    <row r="51" ht="18.0" customHeight="1">
      <c r="A51" s="132" t="s">
        <v>62</v>
      </c>
      <c r="B51" s="133"/>
      <c r="C51" s="134"/>
      <c r="D51" s="135"/>
      <c r="E51" s="136"/>
    </row>
    <row r="52" ht="15.75" customHeight="1">
      <c r="A52" s="137" t="s">
        <v>64</v>
      </c>
      <c r="B52" s="138"/>
      <c r="C52" s="138"/>
      <c r="D52" s="138"/>
      <c r="E52" s="138"/>
      <c r="F52" s="139"/>
      <c r="G52" s="139"/>
      <c r="H52" s="139"/>
      <c r="I52" s="139"/>
      <c r="J52" s="139"/>
      <c r="K52" s="139"/>
    </row>
    <row r="53" ht="15.75" customHeight="1">
      <c r="A53" s="143"/>
      <c r="B53" s="141"/>
      <c r="C53" s="141"/>
      <c r="D53" s="141"/>
      <c r="E53" s="141"/>
      <c r="F53" s="139"/>
      <c r="G53" s="139"/>
      <c r="H53" s="139"/>
      <c r="I53" s="139"/>
      <c r="J53" s="139"/>
      <c r="K53" s="139"/>
    </row>
    <row r="54" ht="15.75" customHeight="1">
      <c r="A54" s="143"/>
      <c r="B54" s="143"/>
      <c r="C54" s="143"/>
      <c r="D54" s="143"/>
      <c r="E54" s="143"/>
      <c r="F54" s="139"/>
      <c r="G54" s="139"/>
      <c r="H54" s="139"/>
      <c r="I54" s="139"/>
      <c r="J54" s="139"/>
      <c r="K54" s="139"/>
    </row>
    <row r="55" ht="15.75" customHeight="1">
      <c r="A55" s="143"/>
      <c r="B55" s="143"/>
      <c r="C55" s="143"/>
      <c r="D55" s="143"/>
      <c r="E55" s="143"/>
      <c r="F55" s="139"/>
      <c r="G55" s="139"/>
      <c r="H55" s="139"/>
      <c r="I55" s="139"/>
      <c r="J55" s="139"/>
      <c r="K55" s="139"/>
    </row>
    <row r="56" ht="15.75" customHeight="1">
      <c r="A56" s="143"/>
      <c r="B56" s="141"/>
      <c r="C56" s="141"/>
      <c r="D56" s="141"/>
      <c r="E56" s="141"/>
      <c r="F56" s="139"/>
      <c r="G56" s="139"/>
      <c r="H56" s="139"/>
      <c r="I56" s="139"/>
      <c r="J56" s="139"/>
      <c r="K56" s="139"/>
    </row>
    <row r="57" ht="15.75" customHeight="1">
      <c r="A57" s="143"/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6"/>
      <c r="B58" s="149"/>
      <c r="C58" s="150"/>
      <c r="D58" s="151"/>
      <c r="E58" s="152"/>
    </row>
    <row r="59" ht="15.75" customHeight="1">
      <c r="A59" s="146"/>
      <c r="B59" s="149"/>
      <c r="C59" s="150"/>
      <c r="D59" s="151"/>
      <c r="E59" s="152"/>
    </row>
    <row r="60" ht="15.75" customHeight="1">
      <c r="A60" s="146"/>
      <c r="B60" s="149"/>
      <c r="C60" s="150"/>
      <c r="D60" s="151"/>
      <c r="E60" s="152"/>
    </row>
    <row r="61" ht="15.75" customHeight="1">
      <c r="A61" s="146"/>
      <c r="B61" s="149"/>
      <c r="C61" s="150"/>
      <c r="D61" s="151"/>
      <c r="E61" s="152"/>
    </row>
    <row r="62" ht="15.75" customHeight="1">
      <c r="A62" s="146"/>
      <c r="B62" s="149"/>
      <c r="C62" s="150"/>
      <c r="D62" s="151"/>
      <c r="E62" s="152"/>
    </row>
    <row r="63" ht="15.75" customHeight="1">
      <c r="A63" s="146"/>
      <c r="B63" s="149"/>
      <c r="C63" s="150"/>
      <c r="D63" s="151"/>
      <c r="E63" s="152"/>
    </row>
    <row r="64" ht="15.75" customHeight="1">
      <c r="A64" s="146"/>
      <c r="B64" s="149"/>
      <c r="C64" s="150"/>
      <c r="D64" s="151"/>
      <c r="E64" s="152"/>
    </row>
    <row r="65" ht="15.75" customHeight="1">
      <c r="A65" s="146"/>
      <c r="B65" s="159"/>
      <c r="C65" s="160"/>
      <c r="D65" s="149"/>
      <c r="E65" s="161"/>
    </row>
    <row r="66" ht="15.75" customHeight="1">
      <c r="A66" s="162"/>
      <c r="B66" s="163"/>
      <c r="C66" s="163"/>
      <c r="D66" s="163"/>
      <c r="E66" s="152"/>
    </row>
    <row r="67" ht="15.75" customHeight="1">
      <c r="A67" s="164"/>
      <c r="B67" s="5"/>
      <c r="C67" s="130"/>
      <c r="D67" s="130"/>
      <c r="E67" s="165"/>
    </row>
    <row r="68" ht="15.75" customHeight="1">
      <c r="A68" s="164"/>
      <c r="B68" s="5"/>
      <c r="C68" s="130"/>
      <c r="D68" s="130"/>
      <c r="E68" s="165"/>
    </row>
    <row r="69" ht="15.75" customHeight="1">
      <c r="A69" s="164"/>
      <c r="B69" s="5"/>
      <c r="C69" s="130"/>
      <c r="D69" s="130"/>
      <c r="E69" s="165"/>
    </row>
    <row r="70" ht="15.75" customHeight="1">
      <c r="A70" s="164"/>
      <c r="B70" s="5"/>
      <c r="C70" s="130"/>
      <c r="D70" s="130"/>
      <c r="E70" s="165"/>
    </row>
    <row r="71" ht="15.75" customHeight="1">
      <c r="A71" s="164"/>
      <c r="B71" s="5"/>
      <c r="C71" s="130"/>
      <c r="D71" s="130"/>
      <c r="E71" s="165"/>
    </row>
    <row r="72" ht="15.75" customHeight="1">
      <c r="A72" s="164"/>
      <c r="B72" s="5"/>
      <c r="C72" s="130"/>
      <c r="D72" s="130"/>
      <c r="E72" s="165"/>
    </row>
    <row r="73" ht="15.75" customHeight="1">
      <c r="A73" s="164"/>
      <c r="B73" s="5"/>
      <c r="C73" s="130"/>
      <c r="D73" s="130"/>
      <c r="E73" s="165"/>
    </row>
    <row r="74" ht="15.75" customHeight="1">
      <c r="A74" s="166"/>
      <c r="B74" s="167"/>
      <c r="C74" s="168"/>
      <c r="D74" s="168"/>
      <c r="E74" s="169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A3:D3"/>
    <mergeCell ref="A5:E5"/>
    <mergeCell ref="A6:C6"/>
    <mergeCell ref="D9:E9"/>
    <mergeCell ref="D10:E10"/>
    <mergeCell ref="D11:E11"/>
    <mergeCell ref="D12:E12"/>
    <mergeCell ref="D13:E13"/>
    <mergeCell ref="A16:E16"/>
    <mergeCell ref="A18:E18"/>
    <mergeCell ref="A21:C21"/>
    <mergeCell ref="D23:E23"/>
    <mergeCell ref="D24:E24"/>
    <mergeCell ref="D27:E27"/>
    <mergeCell ref="D28:E28"/>
    <mergeCell ref="A37:C37"/>
    <mergeCell ref="D38:E38"/>
    <mergeCell ref="D39:E39"/>
    <mergeCell ref="D40:E40"/>
    <mergeCell ref="A44:E44"/>
    <mergeCell ref="A46:C46"/>
    <mergeCell ref="D59:E59"/>
    <mergeCell ref="D60:E60"/>
    <mergeCell ref="D61:E61"/>
    <mergeCell ref="D62:E62"/>
    <mergeCell ref="D63:E63"/>
    <mergeCell ref="D64:E64"/>
    <mergeCell ref="A66:E66"/>
    <mergeCell ref="D48:E48"/>
    <mergeCell ref="D49:E49"/>
    <mergeCell ref="D50:E50"/>
    <mergeCell ref="A52:E52"/>
    <mergeCell ref="A53:E53"/>
    <mergeCell ref="A56:E56"/>
    <mergeCell ref="D58:E58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897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 t="s">
        <v>905</v>
      </c>
      <c r="D6" s="21"/>
      <c r="E6" s="21"/>
      <c r="F6" s="25"/>
      <c r="G6" s="25"/>
      <c r="H6" s="25"/>
      <c r="I6" s="25"/>
      <c r="J6" s="25"/>
      <c r="K6" s="25"/>
    </row>
    <row r="7">
      <c r="A7" s="28" t="s">
        <v>782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862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2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63" t="s">
        <v>909</v>
      </c>
      <c r="B10" s="64">
        <v>50.0</v>
      </c>
      <c r="C10" s="53" t="s">
        <v>25</v>
      </c>
      <c r="D10" s="55"/>
      <c r="E10" s="47"/>
      <c r="F10" s="45"/>
      <c r="G10" s="45"/>
      <c r="H10" s="45"/>
      <c r="I10" s="45"/>
      <c r="J10" s="45"/>
      <c r="K10" s="45"/>
    </row>
    <row r="11">
      <c r="A11" s="63" t="s">
        <v>912</v>
      </c>
      <c r="B11" s="64">
        <v>20.0</v>
      </c>
      <c r="C11" s="53" t="s">
        <v>25</v>
      </c>
      <c r="D11" s="55"/>
      <c r="E11" s="47"/>
      <c r="F11" s="45"/>
      <c r="G11" s="45"/>
      <c r="H11" s="45"/>
      <c r="I11" s="45"/>
      <c r="J11" s="45"/>
      <c r="K11" s="45"/>
    </row>
    <row r="12">
      <c r="A12" s="63" t="s">
        <v>915</v>
      </c>
      <c r="B12" s="64">
        <v>30.0</v>
      </c>
      <c r="C12" s="53" t="s">
        <v>25</v>
      </c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 t="s">
        <v>916</v>
      </c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 t="s">
        <v>918</v>
      </c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 t="s">
        <v>920</v>
      </c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85" t="s">
        <v>922</v>
      </c>
      <c r="B18" s="85"/>
      <c r="C18" s="85"/>
      <c r="D18" s="85"/>
      <c r="E18" s="85"/>
      <c r="F18" s="45"/>
      <c r="G18" s="45"/>
      <c r="H18" s="45"/>
      <c r="I18" s="45"/>
      <c r="J18" s="45"/>
      <c r="K18" s="45"/>
    </row>
    <row r="19">
      <c r="A19" s="28"/>
      <c r="D19" s="45"/>
      <c r="E19" s="45"/>
      <c r="F19" s="45"/>
      <c r="G19" s="45"/>
      <c r="H19" s="45"/>
      <c r="I19" s="45"/>
      <c r="J19" s="45"/>
      <c r="K19" s="45"/>
    </row>
    <row r="20">
      <c r="A20" s="28" t="s">
        <v>924</v>
      </c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 t="s">
        <v>925</v>
      </c>
      <c r="B22" s="97">
        <v>1.0</v>
      </c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>
        <v>0.3</v>
      </c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 t="s">
        <v>926</v>
      </c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143" t="s">
        <v>927</v>
      </c>
      <c r="B27" s="118"/>
      <c r="C27" s="120"/>
      <c r="D27" s="121" t="s">
        <v>928</v>
      </c>
      <c r="F27" s="45"/>
      <c r="G27" s="45"/>
      <c r="H27" s="45"/>
      <c r="I27" s="45"/>
      <c r="J27" s="45"/>
      <c r="K27" s="45"/>
    </row>
    <row r="28" ht="15.75" customHeight="1">
      <c r="A28" s="85" t="s">
        <v>929</v>
      </c>
      <c r="B28" s="118"/>
      <c r="C28" s="120"/>
      <c r="D28" s="121" t="s">
        <v>930</v>
      </c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143"/>
      <c r="B50" s="143"/>
      <c r="C50" s="143"/>
      <c r="D50" s="143"/>
      <c r="E50" s="143"/>
      <c r="F50" s="139"/>
      <c r="G50" s="139"/>
      <c r="H50" s="139"/>
      <c r="I50" s="139"/>
      <c r="J50" s="139"/>
      <c r="K50" s="139"/>
    </row>
    <row r="51" ht="15.75" customHeight="1">
      <c r="A51" s="146"/>
      <c r="B51" s="149"/>
      <c r="C51" s="150"/>
      <c r="D51" s="151"/>
      <c r="E51" s="152"/>
    </row>
    <row r="52" ht="15.75" customHeight="1">
      <c r="A52" s="146"/>
      <c r="B52" s="149"/>
      <c r="C52" s="150"/>
      <c r="D52" s="151"/>
      <c r="E52" s="152"/>
    </row>
    <row r="53" ht="15.75" customHeight="1">
      <c r="A53" s="146"/>
      <c r="B53" s="149"/>
      <c r="C53" s="150"/>
      <c r="D53" s="151"/>
      <c r="E53" s="152"/>
    </row>
    <row r="54" ht="15.75" customHeight="1">
      <c r="A54" s="146"/>
      <c r="B54" s="149"/>
      <c r="C54" s="150"/>
      <c r="D54" s="151"/>
      <c r="E54" s="152"/>
    </row>
    <row r="55" ht="15.75" customHeight="1">
      <c r="A55" s="146"/>
      <c r="B55" s="149"/>
      <c r="C55" s="150"/>
      <c r="D55" s="151"/>
      <c r="E55" s="152"/>
    </row>
    <row r="56" ht="15.75" customHeight="1">
      <c r="A56" s="146"/>
      <c r="B56" s="149"/>
      <c r="C56" s="150"/>
      <c r="D56" s="151"/>
      <c r="E56" s="152"/>
    </row>
    <row r="57" ht="15.75" customHeight="1">
      <c r="A57" s="146"/>
      <c r="B57" s="149"/>
      <c r="C57" s="150"/>
      <c r="D57" s="151"/>
      <c r="E57" s="152"/>
    </row>
    <row r="58" ht="15.75" customHeight="1">
      <c r="A58" s="146"/>
      <c r="B58" s="159"/>
      <c r="C58" s="160"/>
      <c r="D58" s="149"/>
      <c r="E58" s="161"/>
    </row>
    <row r="59" ht="15.75" customHeight="1">
      <c r="A59" s="162"/>
      <c r="B59" s="163"/>
      <c r="C59" s="163"/>
      <c r="D59" s="163"/>
      <c r="E59" s="152"/>
    </row>
    <row r="60" ht="15.75" customHeight="1">
      <c r="A60" s="164"/>
      <c r="B60" s="5"/>
      <c r="C60" s="130"/>
      <c r="D60" s="130"/>
      <c r="E60" s="165"/>
    </row>
    <row r="61" ht="15.75" customHeight="1">
      <c r="A61" s="164"/>
      <c r="B61" s="5"/>
      <c r="C61" s="130"/>
      <c r="D61" s="130"/>
      <c r="E61" s="165"/>
    </row>
    <row r="62" ht="15.75" customHeight="1">
      <c r="A62" s="164"/>
      <c r="B62" s="5"/>
      <c r="C62" s="130"/>
      <c r="D62" s="130"/>
      <c r="E62" s="165"/>
    </row>
    <row r="63" ht="15.75" customHeight="1">
      <c r="A63" s="164"/>
      <c r="B63" s="5"/>
      <c r="C63" s="130"/>
      <c r="D63" s="130"/>
      <c r="E63" s="165"/>
    </row>
    <row r="64" ht="15.75" customHeight="1">
      <c r="A64" s="164"/>
      <c r="B64" s="5"/>
      <c r="C64" s="130"/>
      <c r="D64" s="130"/>
      <c r="E64" s="165"/>
    </row>
    <row r="65" ht="15.75" customHeight="1">
      <c r="A65" s="164"/>
      <c r="B65" s="5"/>
      <c r="C65" s="130"/>
      <c r="D65" s="130"/>
      <c r="E65" s="165"/>
    </row>
    <row r="66" ht="15.75" customHeight="1">
      <c r="A66" s="164"/>
      <c r="B66" s="5"/>
      <c r="C66" s="130"/>
      <c r="D66" s="130"/>
      <c r="E66" s="165"/>
    </row>
    <row r="67" ht="15.75" customHeight="1">
      <c r="A67" s="166"/>
      <c r="B67" s="167"/>
      <c r="C67" s="168"/>
      <c r="D67" s="168"/>
      <c r="E67" s="169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9:C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D51:E51"/>
    <mergeCell ref="D52:E52"/>
    <mergeCell ref="D53:E53"/>
    <mergeCell ref="D54:E54"/>
    <mergeCell ref="D55:E55"/>
    <mergeCell ref="D56:E56"/>
    <mergeCell ref="D57:E57"/>
    <mergeCell ref="A59:E59"/>
    <mergeCell ref="A39:C39"/>
    <mergeCell ref="D41:E41"/>
    <mergeCell ref="D42:E42"/>
    <mergeCell ref="D43:E43"/>
    <mergeCell ref="A45:E45"/>
    <mergeCell ref="A46:E46"/>
    <mergeCell ref="A49:E49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585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53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354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355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/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128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/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/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85"/>
      <c r="B27" s="118"/>
      <c r="C27" s="120"/>
      <c r="D27" s="121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356"/>
      <c r="B50" s="356"/>
      <c r="C50" s="356"/>
      <c r="D50" s="356"/>
      <c r="E50" s="356"/>
      <c r="F50" s="139"/>
      <c r="G50" s="139"/>
      <c r="H50" s="139"/>
      <c r="I50" s="139"/>
      <c r="J50" s="139"/>
      <c r="K50" s="139"/>
    </row>
    <row r="51" ht="15.75" customHeight="1">
      <c r="A51" s="355"/>
      <c r="B51" s="357"/>
      <c r="C51" s="358"/>
      <c r="D51" s="359"/>
      <c r="E51" s="360"/>
    </row>
    <row r="52" ht="15.75" customHeight="1">
      <c r="A52" s="355"/>
      <c r="B52" s="357"/>
      <c r="C52" s="358"/>
      <c r="D52" s="359"/>
      <c r="E52" s="360"/>
    </row>
    <row r="53" ht="15.75" customHeight="1">
      <c r="A53" s="355"/>
      <c r="B53" s="357"/>
      <c r="C53" s="358"/>
      <c r="D53" s="359"/>
      <c r="E53" s="360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61"/>
      <c r="C58" s="362"/>
      <c r="D58" s="357"/>
      <c r="E58" s="363"/>
    </row>
    <row r="59" ht="15.75" customHeight="1">
      <c r="A59" s="364"/>
      <c r="B59" s="365"/>
      <c r="C59" s="365"/>
      <c r="D59" s="365"/>
      <c r="E59" s="360"/>
    </row>
    <row r="60" ht="15.75" customHeight="1">
      <c r="A60" s="366"/>
      <c r="B60" s="357"/>
      <c r="C60" s="366"/>
      <c r="D60" s="366"/>
      <c r="E60" s="366"/>
    </row>
    <row r="61" ht="15.75" customHeight="1">
      <c r="A61" s="366"/>
      <c r="B61" s="357"/>
      <c r="C61" s="366"/>
      <c r="D61" s="366"/>
      <c r="E61" s="366"/>
    </row>
    <row r="62" ht="15.75" customHeight="1">
      <c r="A62" s="366"/>
      <c r="B62" s="357"/>
      <c r="C62" s="366"/>
      <c r="D62" s="366"/>
      <c r="E62" s="366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8:E18"/>
    <mergeCell ref="A19:E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A39:C39"/>
    <mergeCell ref="D41:E41"/>
    <mergeCell ref="D42:E42"/>
    <mergeCell ref="D43:E43"/>
    <mergeCell ref="A45:E45"/>
    <mergeCell ref="A46:E46"/>
    <mergeCell ref="D57:E57"/>
    <mergeCell ref="A59:E59"/>
    <mergeCell ref="A49:E49"/>
    <mergeCell ref="D51:E51"/>
    <mergeCell ref="D52:E52"/>
    <mergeCell ref="D53:E53"/>
    <mergeCell ref="D54:E54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585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53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354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355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/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128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/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/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85"/>
      <c r="B27" s="118"/>
      <c r="C27" s="120"/>
      <c r="D27" s="121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356"/>
      <c r="B50" s="356"/>
      <c r="C50" s="356"/>
      <c r="D50" s="356"/>
      <c r="E50" s="356"/>
      <c r="F50" s="139"/>
      <c r="G50" s="139"/>
      <c r="H50" s="139"/>
      <c r="I50" s="139"/>
      <c r="J50" s="139"/>
      <c r="K50" s="139"/>
    </row>
    <row r="51" ht="15.75" customHeight="1">
      <c r="A51" s="355"/>
      <c r="B51" s="357"/>
      <c r="C51" s="358"/>
      <c r="D51" s="359"/>
      <c r="E51" s="360"/>
    </row>
    <row r="52" ht="15.75" customHeight="1">
      <c r="A52" s="355"/>
      <c r="B52" s="357"/>
      <c r="C52" s="358"/>
      <c r="D52" s="359"/>
      <c r="E52" s="360"/>
    </row>
    <row r="53" ht="15.75" customHeight="1">
      <c r="A53" s="355"/>
      <c r="B53" s="357"/>
      <c r="C53" s="358"/>
      <c r="D53" s="359"/>
      <c r="E53" s="360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61"/>
      <c r="C58" s="362"/>
      <c r="D58" s="357"/>
      <c r="E58" s="363"/>
    </row>
    <row r="59" ht="15.75" customHeight="1">
      <c r="A59" s="364"/>
      <c r="B59" s="365"/>
      <c r="C59" s="365"/>
      <c r="D59" s="365"/>
      <c r="E59" s="360"/>
    </row>
    <row r="60" ht="15.75" customHeight="1">
      <c r="A60" s="366"/>
      <c r="B60" s="357"/>
      <c r="C60" s="366"/>
      <c r="D60" s="366"/>
      <c r="E60" s="366"/>
    </row>
    <row r="61" ht="15.75" customHeight="1">
      <c r="A61" s="366"/>
      <c r="B61" s="357"/>
      <c r="C61" s="366"/>
      <c r="D61" s="366"/>
      <c r="E61" s="366"/>
    </row>
    <row r="62" ht="15.75" customHeight="1">
      <c r="A62" s="366"/>
      <c r="B62" s="357"/>
      <c r="C62" s="366"/>
      <c r="D62" s="366"/>
      <c r="E62" s="366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8:E18"/>
    <mergeCell ref="A19:E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A39:C39"/>
    <mergeCell ref="D41:E41"/>
    <mergeCell ref="D42:E42"/>
    <mergeCell ref="D43:E43"/>
    <mergeCell ref="A45:E45"/>
    <mergeCell ref="A46:E46"/>
    <mergeCell ref="D57:E57"/>
    <mergeCell ref="A59:E59"/>
    <mergeCell ref="A49:E49"/>
    <mergeCell ref="D51:E51"/>
    <mergeCell ref="D52:E52"/>
    <mergeCell ref="D53:E53"/>
    <mergeCell ref="D54:E54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 t="s">
        <v>931</v>
      </c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932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933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28" t="s">
        <v>934</v>
      </c>
      <c r="B9" s="28"/>
      <c r="C9" s="28"/>
      <c r="D9" s="21"/>
      <c r="E9" s="21"/>
      <c r="F9" s="25"/>
      <c r="G9" s="25"/>
      <c r="H9" s="25"/>
      <c r="I9" s="25"/>
      <c r="J9" s="25"/>
      <c r="K9" s="25"/>
    </row>
    <row r="10">
      <c r="A10" s="353" t="s">
        <v>12</v>
      </c>
      <c r="B10" s="34" t="s">
        <v>16</v>
      </c>
      <c r="C10" s="34" t="s">
        <v>20</v>
      </c>
      <c r="D10" s="41" t="s">
        <v>22</v>
      </c>
      <c r="E10" s="38"/>
      <c r="F10" s="45"/>
      <c r="G10" s="45"/>
      <c r="H10" s="45"/>
      <c r="I10" s="45"/>
      <c r="J10" s="45"/>
      <c r="K10" s="45"/>
    </row>
    <row r="11">
      <c r="A11" s="354" t="s">
        <v>936</v>
      </c>
      <c r="B11" s="64">
        <v>30.0</v>
      </c>
      <c r="C11" s="53" t="s">
        <v>25</v>
      </c>
      <c r="D11" s="55"/>
      <c r="E11" s="47"/>
      <c r="F11" s="45"/>
      <c r="G11" s="45"/>
      <c r="H11" s="45"/>
      <c r="I11" s="45"/>
      <c r="J11" s="45"/>
      <c r="K11" s="45"/>
    </row>
    <row r="12">
      <c r="A12" s="355" t="s">
        <v>938</v>
      </c>
      <c r="B12" s="64">
        <v>30.0</v>
      </c>
      <c r="C12" s="53" t="s">
        <v>811</v>
      </c>
      <c r="D12" s="55"/>
      <c r="E12" s="47"/>
      <c r="F12" s="45"/>
      <c r="G12" s="45"/>
      <c r="H12" s="45"/>
      <c r="I12" s="45"/>
      <c r="J12" s="45"/>
      <c r="K12" s="45"/>
    </row>
    <row r="13">
      <c r="A13" s="79" t="s">
        <v>940</v>
      </c>
      <c r="B13" s="64">
        <v>15.0</v>
      </c>
      <c r="C13" s="53" t="s">
        <v>25</v>
      </c>
      <c r="D13" s="55"/>
      <c r="E13" s="55"/>
      <c r="F13" s="45"/>
      <c r="G13" s="45"/>
      <c r="H13" s="45"/>
      <c r="I13" s="45"/>
      <c r="J13" s="45"/>
      <c r="K13" s="45"/>
    </row>
    <row r="14">
      <c r="A14" s="79" t="s">
        <v>941</v>
      </c>
      <c r="B14" s="64">
        <v>15.0</v>
      </c>
      <c r="C14" s="53" t="s">
        <v>25</v>
      </c>
      <c r="D14" s="55"/>
      <c r="E14" s="55"/>
      <c r="F14" s="45"/>
      <c r="G14" s="45"/>
      <c r="H14" s="45"/>
      <c r="I14" s="45"/>
      <c r="J14" s="45"/>
      <c r="K14" s="45"/>
    </row>
    <row r="15">
      <c r="A15" s="63" t="s">
        <v>117</v>
      </c>
      <c r="B15" s="64">
        <v>15.0</v>
      </c>
      <c r="C15" s="53" t="s">
        <v>25</v>
      </c>
      <c r="D15" s="55"/>
      <c r="E15" s="47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55"/>
      <c r="E16" s="55"/>
      <c r="F16" s="45"/>
      <c r="G16" s="45"/>
      <c r="H16" s="45"/>
      <c r="I16" s="45"/>
      <c r="J16" s="45"/>
      <c r="K16" s="45"/>
    </row>
    <row r="17">
      <c r="A17" s="66" t="s">
        <v>48</v>
      </c>
      <c r="B17" s="68"/>
      <c r="C17" s="68"/>
      <c r="D17" s="71"/>
      <c r="E17" s="71"/>
      <c r="F17" s="45"/>
      <c r="G17" s="45"/>
      <c r="H17" s="45"/>
      <c r="I17" s="45"/>
      <c r="J17" s="45"/>
      <c r="K17" s="45"/>
    </row>
    <row r="18">
      <c r="A18" s="368" t="s">
        <v>946</v>
      </c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368" t="s">
        <v>947</v>
      </c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368" t="s">
        <v>948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368" t="s">
        <v>950</v>
      </c>
      <c r="B21" s="368"/>
      <c r="C21" s="368"/>
      <c r="D21" s="368"/>
      <c r="E21" s="368" t="s">
        <v>951</v>
      </c>
      <c r="F21" s="45"/>
      <c r="G21" s="45"/>
      <c r="H21" s="45"/>
      <c r="I21" s="45"/>
      <c r="J21" s="45"/>
      <c r="K21" s="45"/>
    </row>
    <row r="22" ht="15.75" customHeight="1">
      <c r="A22" s="368"/>
      <c r="B22" s="73"/>
      <c r="C22" s="73"/>
      <c r="D22" s="73"/>
      <c r="E22" s="73"/>
      <c r="F22" s="45"/>
      <c r="G22" s="45"/>
      <c r="H22" s="45"/>
      <c r="I22" s="45"/>
      <c r="J22" s="45"/>
      <c r="K22" s="45"/>
    </row>
    <row r="23" ht="15.75" customHeight="1">
      <c r="A23" s="369"/>
      <c r="B23" s="369"/>
      <c r="C23" s="369"/>
      <c r="D23" s="370"/>
      <c r="E23" s="370"/>
      <c r="F23" s="45"/>
      <c r="G23" s="45"/>
      <c r="H23" s="45"/>
      <c r="I23" s="45"/>
      <c r="J23" s="45"/>
      <c r="K23" s="45"/>
    </row>
    <row r="24" ht="15.75" customHeight="1">
      <c r="A24" s="32" t="s">
        <v>12</v>
      </c>
      <c r="B24" s="34" t="s">
        <v>16</v>
      </c>
      <c r="C24" s="34" t="s">
        <v>20</v>
      </c>
      <c r="D24" s="41" t="s">
        <v>22</v>
      </c>
      <c r="E24" s="38"/>
      <c r="F24" s="45"/>
      <c r="G24" s="45"/>
      <c r="H24" s="45"/>
      <c r="I24" s="45"/>
      <c r="J24" s="45"/>
      <c r="K24" s="45"/>
    </row>
    <row r="25" ht="15.75" customHeight="1">
      <c r="A25" s="327"/>
      <c r="B25" s="97"/>
      <c r="C25" s="99" t="s">
        <v>60</v>
      </c>
      <c r="D25" s="55"/>
      <c r="E25" s="47"/>
      <c r="F25" s="45"/>
      <c r="G25" s="45"/>
      <c r="H25" s="45"/>
      <c r="I25" s="45"/>
      <c r="J25" s="45"/>
      <c r="K25" s="45"/>
    </row>
    <row r="26" ht="15.75" customHeight="1">
      <c r="A26" s="327"/>
      <c r="B26" s="97"/>
      <c r="C26" s="99"/>
      <c r="D26" s="55"/>
      <c r="E26" s="47"/>
      <c r="F26" s="45"/>
      <c r="G26" s="45"/>
      <c r="H26" s="45"/>
      <c r="I26" s="45"/>
      <c r="J26" s="45"/>
      <c r="K26" s="45"/>
    </row>
    <row r="27" ht="15.75" customHeight="1">
      <c r="A27" s="66" t="s">
        <v>62</v>
      </c>
      <c r="B27" s="111"/>
      <c r="C27" s="113" t="s">
        <v>60</v>
      </c>
      <c r="D27" s="71"/>
      <c r="E27" s="71"/>
      <c r="F27" s="45"/>
      <c r="G27" s="45"/>
      <c r="H27" s="45"/>
      <c r="I27" s="45"/>
      <c r="J27" s="45"/>
      <c r="K27" s="45"/>
    </row>
    <row r="28" ht="15.75" customHeight="1">
      <c r="A28" s="66" t="s">
        <v>64</v>
      </c>
      <c r="B28" s="114"/>
      <c r="C28" s="115"/>
      <c r="D28" s="116"/>
      <c r="E28" s="116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85"/>
      <c r="B30" s="118"/>
      <c r="C30" s="120"/>
      <c r="D30" s="121"/>
      <c r="F30" s="45"/>
      <c r="G30" s="45"/>
      <c r="H30" s="45"/>
      <c r="I30" s="45"/>
      <c r="J30" s="45"/>
      <c r="K30" s="45"/>
    </row>
    <row r="31" ht="15.75" customHeight="1">
      <c r="A31" s="85"/>
      <c r="B31" s="118"/>
      <c r="C31" s="120"/>
      <c r="D31" s="121"/>
      <c r="F31" s="45"/>
      <c r="G31" s="45"/>
      <c r="H31" s="45"/>
      <c r="I31" s="45"/>
      <c r="J31" s="45"/>
      <c r="K31" s="45"/>
    </row>
    <row r="32" ht="15.75" customHeight="1">
      <c r="A32" s="85"/>
      <c r="B32" s="118"/>
      <c r="C32" s="120"/>
      <c r="D32" s="121"/>
      <c r="E32" s="121"/>
      <c r="F32" s="45"/>
      <c r="G32" s="45"/>
      <c r="H32" s="45"/>
      <c r="I32" s="45"/>
      <c r="J32" s="45"/>
      <c r="K32" s="45"/>
    </row>
    <row r="33" ht="15.75" customHeight="1">
      <c r="A33" s="28"/>
      <c r="D33" s="121"/>
      <c r="E33" s="121"/>
      <c r="F33" s="45"/>
      <c r="G33" s="45"/>
      <c r="H33" s="45"/>
      <c r="I33" s="45"/>
      <c r="J33" s="45"/>
      <c r="K33" s="45"/>
    </row>
    <row r="34" ht="15.75" customHeight="1">
      <c r="A34" s="32" t="s">
        <v>12</v>
      </c>
      <c r="B34" s="34" t="s">
        <v>16</v>
      </c>
      <c r="C34" s="34" t="s">
        <v>20</v>
      </c>
      <c r="D34" s="41" t="s">
        <v>22</v>
      </c>
      <c r="E34" s="38"/>
      <c r="F34" s="45"/>
      <c r="G34" s="45"/>
      <c r="H34" s="45"/>
      <c r="I34" s="45"/>
      <c r="J34" s="45"/>
      <c r="K34" s="45"/>
    </row>
    <row r="35" ht="15.75" customHeight="1">
      <c r="A35" s="327"/>
      <c r="B35" s="97"/>
      <c r="C35" s="99"/>
      <c r="D35" s="55"/>
      <c r="E35" s="47"/>
      <c r="F35" s="45"/>
      <c r="G35" s="45"/>
      <c r="H35" s="45"/>
      <c r="I35" s="45"/>
      <c r="J35" s="45"/>
      <c r="K35" s="45"/>
    </row>
    <row r="36" ht="15.75" customHeight="1">
      <c r="A36" s="327"/>
      <c r="B36" s="97"/>
      <c r="C36" s="99"/>
      <c r="D36" s="55"/>
      <c r="E36" s="47"/>
      <c r="F36" s="45"/>
      <c r="G36" s="45"/>
      <c r="H36" s="45"/>
      <c r="I36" s="45"/>
      <c r="J36" s="45"/>
      <c r="K36" s="45"/>
    </row>
    <row r="37" ht="15.75" customHeight="1">
      <c r="A37" s="66" t="s">
        <v>62</v>
      </c>
      <c r="B37" s="111"/>
      <c r="C37" s="113"/>
      <c r="D37" s="71"/>
      <c r="E37" s="71"/>
      <c r="F37" s="45"/>
      <c r="G37" s="45"/>
      <c r="H37" s="45"/>
      <c r="I37" s="45"/>
      <c r="J37" s="45"/>
      <c r="K37" s="45"/>
    </row>
    <row r="38" ht="15.75" customHeight="1">
      <c r="A38" s="66" t="s">
        <v>64</v>
      </c>
      <c r="B38" s="114"/>
      <c r="C38" s="115"/>
      <c r="D38" s="116"/>
      <c r="E38" s="116"/>
      <c r="F38" s="45"/>
      <c r="G38" s="45"/>
      <c r="H38" s="45"/>
      <c r="I38" s="45"/>
      <c r="J38" s="45"/>
      <c r="K38" s="45"/>
    </row>
    <row r="39" ht="15.75" customHeight="1">
      <c r="A39" s="128"/>
      <c r="B39" s="128"/>
      <c r="C39" s="128"/>
      <c r="D39" s="128"/>
      <c r="E39" s="128"/>
      <c r="F39" s="45"/>
      <c r="G39" s="45"/>
      <c r="H39" s="45"/>
      <c r="I39" s="45"/>
      <c r="J39" s="45"/>
      <c r="K39" s="45"/>
    </row>
    <row r="40" ht="15.75" customHeight="1">
      <c r="A40" s="347"/>
      <c r="B40" s="141"/>
      <c r="C40" s="141"/>
      <c r="D40" s="141"/>
      <c r="E40" s="141"/>
      <c r="F40" s="45"/>
      <c r="G40" s="45"/>
      <c r="H40" s="45"/>
      <c r="I40" s="45"/>
      <c r="J40" s="45"/>
      <c r="K40" s="45"/>
    </row>
    <row r="41" ht="15.75" customHeight="1">
      <c r="A41" s="128"/>
      <c r="B41" s="128"/>
      <c r="C41" s="128"/>
      <c r="D41" s="128"/>
      <c r="E41" s="128"/>
      <c r="F41" s="45"/>
      <c r="G41" s="45"/>
      <c r="H41" s="45"/>
      <c r="I41" s="45"/>
      <c r="J41" s="45"/>
      <c r="K41" s="45"/>
    </row>
    <row r="42" ht="18.0" customHeight="1">
      <c r="A42" s="129"/>
      <c r="D42" s="130"/>
      <c r="E42" s="130"/>
      <c r="F42" s="130"/>
      <c r="G42" s="130"/>
      <c r="H42" s="130"/>
      <c r="I42" s="130"/>
      <c r="J42" s="130"/>
      <c r="K42" s="130"/>
    </row>
    <row r="43" ht="18.0" customHeight="1">
      <c r="A43" s="129"/>
      <c r="B43" s="129"/>
      <c r="C43" s="129"/>
      <c r="D43" s="130"/>
      <c r="E43" s="130"/>
      <c r="F43" s="130"/>
      <c r="G43" s="130"/>
      <c r="H43" s="130"/>
      <c r="I43" s="130"/>
      <c r="J43" s="130"/>
      <c r="K43" s="130"/>
    </row>
    <row r="44" ht="18.0" customHeight="1">
      <c r="A44" s="131" t="s">
        <v>12</v>
      </c>
      <c r="B44" s="31" t="s">
        <v>16</v>
      </c>
      <c r="C44" s="31" t="s">
        <v>20</v>
      </c>
      <c r="D44" s="41"/>
      <c r="E44" s="38"/>
    </row>
    <row r="45" ht="18.0" customHeight="1">
      <c r="A45" s="327"/>
      <c r="B45" s="64"/>
      <c r="C45" s="53"/>
      <c r="D45" s="55"/>
      <c r="E45" s="47"/>
    </row>
    <row r="46" ht="18.0" customHeight="1">
      <c r="A46" s="63"/>
      <c r="B46" s="64"/>
      <c r="C46" s="53"/>
      <c r="D46" s="55"/>
      <c r="E46" s="47"/>
    </row>
    <row r="47" ht="18.0" customHeight="1">
      <c r="A47" s="132" t="s">
        <v>62</v>
      </c>
      <c r="B47" s="133"/>
      <c r="C47" s="134"/>
      <c r="D47" s="135"/>
      <c r="E47" s="136"/>
    </row>
    <row r="48" ht="15.75" customHeight="1">
      <c r="A48" s="137" t="s">
        <v>64</v>
      </c>
      <c r="B48" s="138"/>
      <c r="C48" s="138"/>
      <c r="D48" s="138"/>
      <c r="E48" s="138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143"/>
      <c r="B50" s="143"/>
      <c r="C50" s="143"/>
      <c r="D50" s="143"/>
      <c r="E50" s="143"/>
      <c r="F50" s="139"/>
      <c r="G50" s="139"/>
      <c r="H50" s="139"/>
      <c r="I50" s="139"/>
      <c r="J50" s="139"/>
      <c r="K50" s="139"/>
    </row>
    <row r="51" ht="15.75" customHeight="1">
      <c r="A51" s="143"/>
      <c r="B51" s="143"/>
      <c r="C51" s="143"/>
      <c r="D51" s="143"/>
      <c r="E51" s="143"/>
      <c r="F51" s="139"/>
      <c r="G51" s="139"/>
      <c r="H51" s="139"/>
      <c r="I51" s="139"/>
      <c r="J51" s="139"/>
      <c r="K51" s="139"/>
    </row>
    <row r="52" ht="15.75" customHeight="1">
      <c r="A52" s="143"/>
      <c r="B52" s="141"/>
      <c r="C52" s="141"/>
      <c r="D52" s="141"/>
      <c r="E52" s="141"/>
      <c r="F52" s="139"/>
      <c r="G52" s="139"/>
      <c r="H52" s="139"/>
      <c r="I52" s="139"/>
      <c r="J52" s="139"/>
      <c r="K52" s="139"/>
    </row>
    <row r="53" ht="15.75" customHeight="1">
      <c r="A53" s="356"/>
      <c r="B53" s="356"/>
      <c r="C53" s="356"/>
      <c r="D53" s="356"/>
      <c r="E53" s="356"/>
      <c r="F53" s="139"/>
      <c r="G53" s="139"/>
      <c r="H53" s="139"/>
      <c r="I53" s="139"/>
      <c r="J53" s="139"/>
      <c r="K53" s="139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57"/>
      <c r="C58" s="358"/>
      <c r="D58" s="359"/>
      <c r="E58" s="360"/>
    </row>
    <row r="59" ht="15.75" customHeight="1">
      <c r="A59" s="355"/>
      <c r="B59" s="357"/>
      <c r="C59" s="358"/>
      <c r="D59" s="359"/>
      <c r="E59" s="360"/>
    </row>
    <row r="60" ht="15.75" customHeight="1">
      <c r="A60" s="355"/>
      <c r="B60" s="357"/>
      <c r="C60" s="358"/>
      <c r="D60" s="359"/>
      <c r="E60" s="360"/>
    </row>
    <row r="61" ht="15.75" customHeight="1">
      <c r="A61" s="355"/>
      <c r="B61" s="361"/>
      <c r="C61" s="362"/>
      <c r="D61" s="357"/>
      <c r="E61" s="363"/>
    </row>
    <row r="62" ht="15.75" customHeight="1">
      <c r="A62" s="364"/>
      <c r="B62" s="365"/>
      <c r="C62" s="365"/>
      <c r="D62" s="365"/>
      <c r="E62" s="360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A68" s="366"/>
      <c r="B68" s="357"/>
      <c r="C68" s="366"/>
      <c r="D68" s="366"/>
      <c r="E68" s="366"/>
    </row>
    <row r="69" ht="15.75" customHeight="1">
      <c r="A69" s="366"/>
      <c r="B69" s="357"/>
      <c r="C69" s="366"/>
      <c r="D69" s="366"/>
      <c r="E69" s="366"/>
    </row>
    <row r="70" ht="15.75" customHeight="1">
      <c r="A70" s="366"/>
      <c r="B70" s="357"/>
      <c r="C70" s="366"/>
      <c r="D70" s="366"/>
      <c r="E70" s="366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3:D3"/>
    <mergeCell ref="A5:E5"/>
    <mergeCell ref="A6:C6"/>
    <mergeCell ref="D10:E10"/>
    <mergeCell ref="D11:E11"/>
    <mergeCell ref="D12:E12"/>
    <mergeCell ref="D15:E15"/>
    <mergeCell ref="A18:E18"/>
    <mergeCell ref="A19:E19"/>
    <mergeCell ref="A20:E20"/>
    <mergeCell ref="A22:E22"/>
    <mergeCell ref="D24:E24"/>
    <mergeCell ref="D25:E25"/>
    <mergeCell ref="D26:E26"/>
    <mergeCell ref="D30:E30"/>
    <mergeCell ref="D31:E31"/>
    <mergeCell ref="A33:C33"/>
    <mergeCell ref="D34:E34"/>
    <mergeCell ref="D35:E35"/>
    <mergeCell ref="D36:E36"/>
    <mergeCell ref="A40:E40"/>
    <mergeCell ref="D54:E54"/>
    <mergeCell ref="D55:E55"/>
    <mergeCell ref="D56:E56"/>
    <mergeCell ref="D57:E57"/>
    <mergeCell ref="D58:E58"/>
    <mergeCell ref="D59:E59"/>
    <mergeCell ref="D60:E60"/>
    <mergeCell ref="A62:E62"/>
    <mergeCell ref="A42:C42"/>
    <mergeCell ref="D44:E44"/>
    <mergeCell ref="D45:E45"/>
    <mergeCell ref="D46:E46"/>
    <mergeCell ref="A48:E48"/>
    <mergeCell ref="A49:E49"/>
    <mergeCell ref="A52:E52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2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808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935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28" t="s">
        <v>937</v>
      </c>
      <c r="C9" s="28"/>
      <c r="D9" s="21"/>
      <c r="E9" s="21"/>
      <c r="F9" s="25"/>
      <c r="G9" s="25"/>
      <c r="H9" s="25"/>
      <c r="I9" s="25"/>
      <c r="J9" s="25"/>
      <c r="K9" s="25"/>
    </row>
    <row r="10">
      <c r="A10" s="353" t="s">
        <v>12</v>
      </c>
      <c r="B10" s="34" t="s">
        <v>16</v>
      </c>
      <c r="C10" s="34" t="s">
        <v>20</v>
      </c>
      <c r="D10" s="41" t="s">
        <v>22</v>
      </c>
      <c r="E10" s="38"/>
      <c r="F10" s="45"/>
      <c r="G10" s="45"/>
      <c r="H10" s="45"/>
      <c r="I10" s="45"/>
      <c r="J10" s="45"/>
      <c r="K10" s="45"/>
    </row>
    <row r="11">
      <c r="A11" s="354" t="s">
        <v>939</v>
      </c>
      <c r="B11" s="64">
        <v>50.0</v>
      </c>
      <c r="C11" s="53" t="s">
        <v>811</v>
      </c>
      <c r="D11" s="367"/>
      <c r="E11" s="47"/>
      <c r="F11" s="45"/>
      <c r="G11" s="45"/>
      <c r="H11" s="45"/>
      <c r="I11" s="45"/>
      <c r="J11" s="45"/>
      <c r="K11" s="45"/>
    </row>
    <row r="12">
      <c r="A12" s="355" t="s">
        <v>864</v>
      </c>
      <c r="B12" s="64">
        <v>15.0</v>
      </c>
      <c r="C12" s="53" t="s">
        <v>811</v>
      </c>
      <c r="D12" s="367"/>
      <c r="E12" s="47"/>
      <c r="F12" s="45"/>
      <c r="G12" s="45"/>
      <c r="H12" s="45"/>
      <c r="I12" s="45"/>
      <c r="J12" s="45"/>
      <c r="K12" s="45"/>
    </row>
    <row r="13">
      <c r="A13" s="63" t="s">
        <v>942</v>
      </c>
      <c r="B13" s="64">
        <v>65.0</v>
      </c>
      <c r="C13" s="53" t="s">
        <v>25</v>
      </c>
      <c r="D13" s="367" t="s">
        <v>943</v>
      </c>
      <c r="E13" s="47"/>
      <c r="F13" s="45"/>
      <c r="G13" s="45"/>
      <c r="H13" s="45"/>
      <c r="I13" s="45"/>
      <c r="J13" s="45"/>
      <c r="K13" s="45"/>
    </row>
    <row r="14">
      <c r="A14" s="63" t="s">
        <v>143</v>
      </c>
      <c r="B14" s="64">
        <v>15.0</v>
      </c>
      <c r="C14" s="53" t="s">
        <v>25</v>
      </c>
      <c r="D14" s="367"/>
      <c r="E14" s="367"/>
      <c r="F14" s="45"/>
      <c r="G14" s="45"/>
      <c r="H14" s="45"/>
      <c r="I14" s="45"/>
      <c r="J14" s="45"/>
      <c r="K14" s="45"/>
    </row>
    <row r="15">
      <c r="A15" s="63" t="s">
        <v>944</v>
      </c>
      <c r="B15" s="64">
        <v>60.0</v>
      </c>
      <c r="C15" s="53" t="s">
        <v>945</v>
      </c>
      <c r="D15" s="367"/>
      <c r="E15" s="367"/>
      <c r="F15" s="45"/>
      <c r="G15" s="45"/>
      <c r="H15" s="45"/>
      <c r="I15" s="45"/>
      <c r="J15" s="45"/>
      <c r="K15" s="45"/>
    </row>
    <row r="16">
      <c r="A16" s="63"/>
      <c r="B16" s="64"/>
      <c r="C16" s="53"/>
      <c r="D16" s="367"/>
      <c r="E16" s="367"/>
      <c r="F16" s="45"/>
      <c r="G16" s="45"/>
      <c r="H16" s="45"/>
      <c r="I16" s="45"/>
      <c r="J16" s="45"/>
      <c r="K16" s="45"/>
    </row>
    <row r="17">
      <c r="A17" s="63"/>
      <c r="B17" s="64"/>
      <c r="C17" s="53"/>
      <c r="D17" s="367"/>
      <c r="E17" s="367"/>
      <c r="F17" s="45"/>
      <c r="G17" s="45"/>
      <c r="H17" s="45"/>
      <c r="I17" s="45"/>
      <c r="J17" s="45"/>
      <c r="K17" s="45"/>
    </row>
    <row r="18">
      <c r="A18" s="66" t="s">
        <v>48</v>
      </c>
      <c r="B18" s="68"/>
      <c r="C18" s="68"/>
      <c r="D18" s="71"/>
      <c r="E18" s="71"/>
      <c r="F18" s="45"/>
      <c r="G18" s="45"/>
      <c r="H18" s="45"/>
      <c r="I18" s="45"/>
      <c r="J18" s="45"/>
      <c r="K18" s="45"/>
    </row>
    <row r="19">
      <c r="A19" s="368" t="s">
        <v>949</v>
      </c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368" t="s">
        <v>952</v>
      </c>
      <c r="B20" s="73"/>
      <c r="C20" s="73"/>
      <c r="D20" s="73"/>
      <c r="E20" s="73"/>
      <c r="F20" s="45"/>
      <c r="G20" s="45"/>
      <c r="H20" s="45"/>
      <c r="I20" s="45"/>
      <c r="J20" s="45"/>
      <c r="K20" s="45"/>
    </row>
    <row r="21" ht="15.75" customHeight="1">
      <c r="A21" s="368" t="s">
        <v>953</v>
      </c>
      <c r="B21" s="73"/>
      <c r="C21" s="73"/>
      <c r="D21" s="73"/>
      <c r="E21" s="73"/>
      <c r="F21" s="45"/>
      <c r="G21" s="45"/>
      <c r="H21" s="45"/>
      <c r="I21" s="45"/>
      <c r="J21" s="45"/>
      <c r="K21" s="45"/>
    </row>
    <row r="22" ht="15.75" customHeight="1">
      <c r="A22" s="368" t="s">
        <v>954</v>
      </c>
      <c r="B22" s="73"/>
      <c r="C22" s="73"/>
      <c r="D22" s="73"/>
      <c r="E22" s="73"/>
      <c r="F22" s="45"/>
      <c r="G22" s="45"/>
      <c r="H22" s="45"/>
      <c r="I22" s="45"/>
      <c r="J22" s="45"/>
      <c r="K22" s="45"/>
    </row>
    <row r="23" ht="15.75" customHeight="1">
      <c r="A23" s="368"/>
      <c r="B23" s="73"/>
      <c r="C23" s="73"/>
      <c r="D23" s="73"/>
      <c r="E23" s="73"/>
      <c r="F23" s="45"/>
      <c r="G23" s="45"/>
      <c r="H23" s="45"/>
      <c r="I23" s="45"/>
      <c r="J23" s="45"/>
      <c r="K23" s="45"/>
    </row>
    <row r="24" ht="15.75" customHeight="1">
      <c r="A24" s="28" t="s">
        <v>944</v>
      </c>
      <c r="B24" s="369"/>
      <c r="C24" s="369"/>
      <c r="D24" s="370"/>
      <c r="E24" s="370"/>
      <c r="F24" s="45"/>
      <c r="G24" s="45"/>
      <c r="H24" s="45"/>
      <c r="I24" s="45"/>
      <c r="J24" s="45"/>
      <c r="K24" s="45"/>
    </row>
    <row r="25" ht="15.75" customHeight="1">
      <c r="A25" s="32" t="s">
        <v>12</v>
      </c>
      <c r="B25" s="34" t="s">
        <v>16</v>
      </c>
      <c r="C25" s="34" t="s">
        <v>20</v>
      </c>
      <c r="D25" s="41" t="s">
        <v>22</v>
      </c>
      <c r="E25" s="38"/>
      <c r="F25" s="45"/>
      <c r="G25" s="45"/>
      <c r="H25" s="45"/>
      <c r="I25" s="45"/>
      <c r="J25" s="45"/>
      <c r="K25" s="45"/>
    </row>
    <row r="26" ht="15.75" customHeight="1">
      <c r="A26" s="327"/>
      <c r="B26" s="97"/>
      <c r="C26" s="99" t="s">
        <v>60</v>
      </c>
      <c r="D26" s="55"/>
      <c r="E26" s="47"/>
      <c r="F26" s="45"/>
      <c r="G26" s="45"/>
      <c r="H26" s="45"/>
      <c r="I26" s="45"/>
      <c r="J26" s="45"/>
      <c r="K26" s="45"/>
    </row>
    <row r="27" ht="15.75" customHeight="1">
      <c r="A27" s="327"/>
      <c r="B27" s="97"/>
      <c r="C27" s="99"/>
      <c r="D27" s="55"/>
      <c r="E27" s="55"/>
      <c r="F27" s="45"/>
      <c r="G27" s="45"/>
      <c r="H27" s="45"/>
      <c r="I27" s="45"/>
      <c r="J27" s="45"/>
      <c r="K27" s="45"/>
    </row>
    <row r="28" ht="15.75" customHeight="1">
      <c r="A28" s="327"/>
      <c r="B28" s="97"/>
      <c r="C28" s="99"/>
      <c r="D28" s="55"/>
      <c r="E28" s="55"/>
      <c r="F28" s="45"/>
      <c r="G28" s="45"/>
      <c r="H28" s="45"/>
      <c r="I28" s="45"/>
      <c r="J28" s="45"/>
      <c r="K28" s="45"/>
    </row>
    <row r="29" ht="15.75" customHeight="1">
      <c r="A29" s="327"/>
      <c r="B29" s="97"/>
      <c r="C29" s="99"/>
      <c r="D29" s="55"/>
      <c r="E29" s="55"/>
      <c r="F29" s="45"/>
      <c r="G29" s="45"/>
      <c r="H29" s="45"/>
      <c r="I29" s="45"/>
      <c r="J29" s="45"/>
      <c r="K29" s="45"/>
    </row>
    <row r="30" ht="15.75" customHeight="1">
      <c r="A30" s="327"/>
      <c r="B30" s="97"/>
      <c r="C30" s="99"/>
      <c r="D30" s="55"/>
      <c r="E30" s="55"/>
      <c r="F30" s="45"/>
      <c r="G30" s="45"/>
      <c r="H30" s="45"/>
      <c r="I30" s="45"/>
      <c r="J30" s="45"/>
      <c r="K30" s="45"/>
    </row>
    <row r="31" ht="15.75" customHeight="1">
      <c r="A31" s="327"/>
      <c r="B31" s="97"/>
      <c r="C31" s="99"/>
      <c r="D31" s="55"/>
      <c r="E31" s="55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66" t="s">
        <v>62</v>
      </c>
      <c r="B33" s="111"/>
      <c r="C33" s="113" t="s">
        <v>60</v>
      </c>
      <c r="D33" s="71"/>
      <c r="E33" s="71"/>
      <c r="F33" s="45"/>
      <c r="G33" s="45"/>
      <c r="H33" s="45"/>
      <c r="I33" s="45"/>
      <c r="J33" s="45"/>
      <c r="K33" s="45"/>
    </row>
    <row r="34" ht="15.75" customHeight="1">
      <c r="A34" s="66" t="s">
        <v>64</v>
      </c>
      <c r="B34" s="114"/>
      <c r="C34" s="115"/>
      <c r="D34" s="116"/>
      <c r="E34" s="116"/>
      <c r="F34" s="45"/>
      <c r="G34" s="45"/>
      <c r="H34" s="45"/>
      <c r="I34" s="45"/>
      <c r="J34" s="45"/>
      <c r="K34" s="45"/>
    </row>
    <row r="35" ht="15.75" customHeight="1">
      <c r="A35" s="85"/>
      <c r="B35" s="118"/>
      <c r="C35" s="120"/>
      <c r="D35" s="121"/>
      <c r="E35" s="121"/>
      <c r="F35" s="45"/>
      <c r="G35" s="45"/>
      <c r="H35" s="45"/>
      <c r="I35" s="45"/>
      <c r="J35" s="45"/>
      <c r="K35" s="45"/>
    </row>
    <row r="36" ht="15.75" customHeight="1">
      <c r="A36" s="85"/>
      <c r="B36" s="118"/>
      <c r="C36" s="120"/>
      <c r="D36" s="121"/>
      <c r="F36" s="45"/>
      <c r="G36" s="45"/>
      <c r="H36" s="45"/>
      <c r="I36" s="45"/>
      <c r="J36" s="45"/>
      <c r="K36" s="45"/>
    </row>
    <row r="37" ht="15.75" customHeight="1">
      <c r="A37" s="85"/>
      <c r="B37" s="118"/>
      <c r="C37" s="120"/>
      <c r="D37" s="121"/>
      <c r="F37" s="45"/>
      <c r="G37" s="45"/>
      <c r="H37" s="45"/>
      <c r="I37" s="45"/>
      <c r="J37" s="45"/>
      <c r="K37" s="45"/>
    </row>
    <row r="38" ht="15.75" customHeight="1">
      <c r="A38" s="85"/>
      <c r="B38" s="118"/>
      <c r="C38" s="120"/>
      <c r="D38" s="121"/>
      <c r="E38" s="121"/>
      <c r="F38" s="45"/>
      <c r="G38" s="45"/>
      <c r="H38" s="45"/>
      <c r="I38" s="45"/>
      <c r="J38" s="45"/>
      <c r="K38" s="45"/>
    </row>
    <row r="39" ht="15.75" customHeight="1">
      <c r="A39" s="28"/>
      <c r="D39" s="121"/>
      <c r="E39" s="121"/>
      <c r="F39" s="45"/>
      <c r="G39" s="45"/>
      <c r="H39" s="45"/>
      <c r="I39" s="45"/>
      <c r="J39" s="45"/>
      <c r="K39" s="45"/>
    </row>
    <row r="40" ht="15.75" customHeight="1">
      <c r="A40" s="32" t="s">
        <v>12</v>
      </c>
      <c r="B40" s="34" t="s">
        <v>16</v>
      </c>
      <c r="C40" s="34" t="s">
        <v>20</v>
      </c>
      <c r="D40" s="41" t="s">
        <v>22</v>
      </c>
      <c r="E40" s="38"/>
      <c r="F40" s="45"/>
      <c r="G40" s="45"/>
      <c r="H40" s="45"/>
      <c r="I40" s="45"/>
      <c r="J40" s="45"/>
      <c r="K40" s="45"/>
    </row>
    <row r="41" ht="15.75" customHeight="1">
      <c r="A41" s="327"/>
      <c r="B41" s="97"/>
      <c r="C41" s="99"/>
      <c r="D41" s="55"/>
      <c r="E41" s="47"/>
      <c r="F41" s="45"/>
      <c r="G41" s="45"/>
      <c r="H41" s="45"/>
      <c r="I41" s="45"/>
      <c r="J41" s="45"/>
      <c r="K41" s="45"/>
    </row>
    <row r="42" ht="15.75" customHeight="1">
      <c r="A42" s="327"/>
      <c r="B42" s="97"/>
      <c r="C42" s="99"/>
      <c r="D42" s="55"/>
      <c r="E42" s="47"/>
      <c r="F42" s="45"/>
      <c r="G42" s="45"/>
      <c r="H42" s="45"/>
      <c r="I42" s="45"/>
      <c r="J42" s="45"/>
      <c r="K42" s="45"/>
    </row>
    <row r="43" ht="15.75" customHeight="1">
      <c r="A43" s="66" t="s">
        <v>62</v>
      </c>
      <c r="B43" s="111"/>
      <c r="C43" s="113"/>
      <c r="D43" s="71"/>
      <c r="E43" s="71"/>
      <c r="F43" s="45"/>
      <c r="G43" s="45"/>
      <c r="H43" s="45"/>
      <c r="I43" s="45"/>
      <c r="J43" s="45"/>
      <c r="K43" s="45"/>
    </row>
    <row r="44" ht="15.75" customHeight="1">
      <c r="A44" s="66" t="s">
        <v>64</v>
      </c>
      <c r="B44" s="114"/>
      <c r="C44" s="115"/>
      <c r="D44" s="116"/>
      <c r="E44" s="116"/>
      <c r="F44" s="45"/>
      <c r="G44" s="45"/>
      <c r="H44" s="45"/>
      <c r="I44" s="45"/>
      <c r="J44" s="45"/>
      <c r="K44" s="45"/>
    </row>
    <row r="45" ht="15.75" customHeight="1">
      <c r="A45" s="128"/>
      <c r="B45" s="128"/>
      <c r="C45" s="128"/>
      <c r="D45" s="128"/>
      <c r="E45" s="128"/>
      <c r="F45" s="45"/>
      <c r="G45" s="45"/>
      <c r="H45" s="45"/>
      <c r="I45" s="45"/>
      <c r="J45" s="45"/>
      <c r="K45" s="45"/>
    </row>
    <row r="46" ht="15.75" customHeight="1">
      <c r="A46" s="347"/>
      <c r="B46" s="141"/>
      <c r="C46" s="141"/>
      <c r="D46" s="141"/>
      <c r="E46" s="141"/>
      <c r="F46" s="45"/>
      <c r="G46" s="45"/>
      <c r="H46" s="45"/>
      <c r="I46" s="45"/>
      <c r="J46" s="45"/>
      <c r="K46" s="45"/>
    </row>
    <row r="47" ht="15.75" customHeight="1">
      <c r="A47" s="128"/>
      <c r="B47" s="128"/>
      <c r="C47" s="128"/>
      <c r="D47" s="128"/>
      <c r="E47" s="128"/>
      <c r="F47" s="45"/>
      <c r="G47" s="45"/>
      <c r="H47" s="45"/>
      <c r="I47" s="45"/>
      <c r="J47" s="45"/>
      <c r="K47" s="45"/>
    </row>
    <row r="48" ht="18.0" customHeight="1">
      <c r="A48" s="129"/>
      <c r="D48" s="130"/>
      <c r="E48" s="130"/>
      <c r="F48" s="130"/>
      <c r="G48" s="130"/>
      <c r="H48" s="130"/>
      <c r="I48" s="130"/>
      <c r="J48" s="130"/>
      <c r="K48" s="130"/>
    </row>
    <row r="49" ht="18.0" customHeight="1">
      <c r="A49" s="129"/>
      <c r="B49" s="129"/>
      <c r="C49" s="129"/>
      <c r="D49" s="130"/>
      <c r="E49" s="130"/>
      <c r="F49" s="130"/>
      <c r="G49" s="130"/>
      <c r="H49" s="130"/>
      <c r="I49" s="130"/>
      <c r="J49" s="130"/>
      <c r="K49" s="130"/>
    </row>
    <row r="50" ht="18.0" customHeight="1">
      <c r="A50" s="131" t="s">
        <v>12</v>
      </c>
      <c r="B50" s="31" t="s">
        <v>16</v>
      </c>
      <c r="C50" s="31" t="s">
        <v>20</v>
      </c>
      <c r="D50" s="41"/>
      <c r="E50" s="38"/>
    </row>
    <row r="51" ht="18.0" customHeight="1">
      <c r="A51" s="327"/>
      <c r="B51" s="64"/>
      <c r="C51" s="53"/>
      <c r="D51" s="55"/>
      <c r="E51" s="47"/>
    </row>
    <row r="52" ht="18.0" customHeight="1">
      <c r="A52" s="63"/>
      <c r="B52" s="64"/>
      <c r="C52" s="53"/>
      <c r="D52" s="55"/>
      <c r="E52" s="47"/>
    </row>
    <row r="53" ht="18.0" customHeight="1">
      <c r="A53" s="132" t="s">
        <v>62</v>
      </c>
      <c r="B53" s="133"/>
      <c r="C53" s="134"/>
      <c r="D53" s="135"/>
      <c r="E53" s="136"/>
    </row>
    <row r="54" ht="15.75" customHeight="1">
      <c r="A54" s="137" t="s">
        <v>64</v>
      </c>
      <c r="B54" s="138"/>
      <c r="C54" s="138"/>
      <c r="D54" s="138"/>
      <c r="E54" s="138"/>
      <c r="F54" s="139"/>
      <c r="G54" s="139"/>
      <c r="H54" s="139"/>
      <c r="I54" s="139"/>
      <c r="J54" s="139"/>
      <c r="K54" s="139"/>
    </row>
    <row r="55" ht="15.75" customHeight="1">
      <c r="A55" s="143"/>
      <c r="B55" s="141"/>
      <c r="C55" s="141"/>
      <c r="D55" s="141"/>
      <c r="E55" s="141"/>
      <c r="F55" s="139"/>
      <c r="G55" s="139"/>
      <c r="H55" s="139"/>
      <c r="I55" s="139"/>
      <c r="J55" s="139"/>
      <c r="K55" s="139"/>
    </row>
    <row r="56" ht="15.75" customHeight="1">
      <c r="A56" s="143"/>
      <c r="B56" s="143"/>
      <c r="C56" s="143"/>
      <c r="D56" s="143"/>
      <c r="E56" s="143"/>
      <c r="F56" s="139"/>
      <c r="G56" s="139"/>
      <c r="H56" s="139"/>
      <c r="I56" s="139"/>
      <c r="J56" s="139"/>
      <c r="K56" s="139"/>
    </row>
    <row r="57" ht="15.75" customHeight="1">
      <c r="A57" s="143"/>
      <c r="B57" s="143"/>
      <c r="C57" s="143"/>
      <c r="D57" s="143"/>
      <c r="E57" s="143"/>
      <c r="F57" s="139"/>
      <c r="G57" s="139"/>
      <c r="H57" s="139"/>
      <c r="I57" s="139"/>
      <c r="J57" s="139"/>
      <c r="K57" s="139"/>
    </row>
    <row r="58" ht="15.75" customHeight="1">
      <c r="A58" s="143"/>
      <c r="B58" s="141"/>
      <c r="C58" s="141"/>
      <c r="D58" s="141"/>
      <c r="E58" s="141"/>
      <c r="F58" s="139"/>
      <c r="G58" s="139"/>
      <c r="H58" s="139"/>
      <c r="I58" s="139"/>
      <c r="J58" s="139"/>
      <c r="K58" s="139"/>
    </row>
    <row r="59" ht="15.75" customHeight="1">
      <c r="A59" s="356"/>
      <c r="B59" s="356"/>
      <c r="C59" s="356"/>
      <c r="D59" s="356"/>
      <c r="E59" s="356"/>
      <c r="F59" s="139"/>
      <c r="G59" s="139"/>
      <c r="H59" s="139"/>
      <c r="I59" s="139"/>
      <c r="J59" s="139"/>
      <c r="K59" s="139"/>
    </row>
    <row r="60" ht="15.75" customHeight="1">
      <c r="A60" s="355"/>
      <c r="B60" s="357"/>
      <c r="C60" s="358"/>
      <c r="D60" s="359"/>
      <c r="E60" s="360"/>
    </row>
    <row r="61" ht="15.75" customHeight="1">
      <c r="A61" s="355"/>
      <c r="B61" s="357"/>
      <c r="C61" s="358"/>
      <c r="D61" s="359"/>
      <c r="E61" s="360"/>
    </row>
    <row r="62" ht="15.75" customHeight="1">
      <c r="A62" s="355"/>
      <c r="B62" s="357"/>
      <c r="C62" s="358"/>
      <c r="D62" s="359"/>
      <c r="E62" s="360"/>
    </row>
    <row r="63" ht="15.75" customHeight="1">
      <c r="A63" s="355"/>
      <c r="B63" s="357"/>
      <c r="C63" s="358"/>
      <c r="D63" s="359"/>
      <c r="E63" s="360"/>
    </row>
    <row r="64" ht="15.75" customHeight="1">
      <c r="A64" s="355"/>
      <c r="B64" s="357"/>
      <c r="C64" s="358"/>
      <c r="D64" s="359"/>
      <c r="E64" s="360"/>
    </row>
    <row r="65" ht="15.75" customHeight="1">
      <c r="A65" s="355"/>
      <c r="B65" s="357"/>
      <c r="C65" s="358"/>
      <c r="D65" s="359"/>
      <c r="E65" s="360"/>
    </row>
    <row r="66" ht="15.75" customHeight="1">
      <c r="A66" s="355"/>
      <c r="B66" s="357"/>
      <c r="C66" s="358"/>
      <c r="D66" s="359"/>
      <c r="E66" s="360"/>
    </row>
    <row r="67" ht="15.75" customHeight="1">
      <c r="A67" s="355"/>
      <c r="B67" s="361"/>
      <c r="C67" s="362"/>
      <c r="D67" s="357"/>
      <c r="E67" s="363"/>
    </row>
    <row r="68" ht="15.75" customHeight="1">
      <c r="A68" s="364"/>
      <c r="B68" s="365"/>
      <c r="C68" s="365"/>
      <c r="D68" s="365"/>
      <c r="E68" s="360"/>
    </row>
    <row r="69" ht="15.75" customHeight="1">
      <c r="A69" s="366"/>
      <c r="B69" s="357"/>
      <c r="C69" s="366"/>
      <c r="D69" s="366"/>
      <c r="E69" s="366"/>
    </row>
    <row r="70" ht="15.75" customHeight="1">
      <c r="A70" s="366"/>
      <c r="B70" s="357"/>
      <c r="C70" s="366"/>
      <c r="D70" s="366"/>
      <c r="E70" s="366"/>
    </row>
    <row r="71" ht="15.75" customHeight="1">
      <c r="A71" s="366"/>
      <c r="B71" s="357"/>
      <c r="C71" s="366"/>
      <c r="D71" s="366"/>
      <c r="E71" s="366"/>
    </row>
    <row r="72" ht="15.75" customHeight="1">
      <c r="A72" s="366"/>
      <c r="B72" s="357"/>
      <c r="C72" s="366"/>
      <c r="D72" s="366"/>
      <c r="E72" s="366"/>
    </row>
    <row r="73" ht="15.75" customHeight="1">
      <c r="A73" s="366"/>
      <c r="B73" s="357"/>
      <c r="C73" s="366"/>
      <c r="D73" s="366"/>
      <c r="E73" s="366"/>
    </row>
    <row r="74" ht="15.75" customHeight="1">
      <c r="A74" s="366"/>
      <c r="B74" s="357"/>
      <c r="C74" s="366"/>
      <c r="D74" s="366"/>
      <c r="E74" s="366"/>
    </row>
    <row r="75" ht="15.75" customHeight="1">
      <c r="A75" s="366"/>
      <c r="B75" s="357"/>
      <c r="C75" s="366"/>
      <c r="D75" s="366"/>
      <c r="E75" s="366"/>
    </row>
    <row r="76" ht="15.75" customHeight="1">
      <c r="A76" s="366"/>
      <c r="B76" s="357"/>
      <c r="C76" s="366"/>
      <c r="D76" s="366"/>
      <c r="E76" s="366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10:E10"/>
    <mergeCell ref="D11:E11"/>
    <mergeCell ref="D12:E12"/>
    <mergeCell ref="D13:E13"/>
    <mergeCell ref="A19:E19"/>
    <mergeCell ref="A20:E20"/>
    <mergeCell ref="A21:E21"/>
    <mergeCell ref="A22:E22"/>
    <mergeCell ref="A23:E23"/>
    <mergeCell ref="D25:E25"/>
    <mergeCell ref="D26:E26"/>
    <mergeCell ref="D32:E32"/>
    <mergeCell ref="D36:E36"/>
    <mergeCell ref="D37:E37"/>
    <mergeCell ref="A39:C39"/>
    <mergeCell ref="D40:E40"/>
    <mergeCell ref="D41:E41"/>
    <mergeCell ref="D42:E42"/>
    <mergeCell ref="A46:E46"/>
    <mergeCell ref="A48:C48"/>
    <mergeCell ref="D50:E50"/>
    <mergeCell ref="D51:E51"/>
    <mergeCell ref="D52:E52"/>
    <mergeCell ref="A54:E54"/>
    <mergeCell ref="A55:E55"/>
    <mergeCell ref="D66:E66"/>
    <mergeCell ref="A68:E68"/>
    <mergeCell ref="A58:E58"/>
    <mergeCell ref="D60:E60"/>
    <mergeCell ref="D61:E61"/>
    <mergeCell ref="D62:E62"/>
    <mergeCell ref="D63:E63"/>
    <mergeCell ref="D64:E64"/>
    <mergeCell ref="D65:E65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585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53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354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355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/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128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/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/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85"/>
      <c r="B27" s="118"/>
      <c r="C27" s="120"/>
      <c r="D27" s="121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356"/>
      <c r="B50" s="356"/>
      <c r="C50" s="356"/>
      <c r="D50" s="356"/>
      <c r="E50" s="356"/>
      <c r="F50" s="139"/>
      <c r="G50" s="139"/>
      <c r="H50" s="139"/>
      <c r="I50" s="139"/>
      <c r="J50" s="139"/>
      <c r="K50" s="139"/>
    </row>
    <row r="51" ht="15.75" customHeight="1">
      <c r="A51" s="355"/>
      <c r="B51" s="357"/>
      <c r="C51" s="358"/>
      <c r="D51" s="359"/>
      <c r="E51" s="360"/>
    </row>
    <row r="52" ht="15.75" customHeight="1">
      <c r="A52" s="355"/>
      <c r="B52" s="357"/>
      <c r="C52" s="358"/>
      <c r="D52" s="359"/>
      <c r="E52" s="360"/>
    </row>
    <row r="53" ht="15.75" customHeight="1">
      <c r="A53" s="355"/>
      <c r="B53" s="357"/>
      <c r="C53" s="358"/>
      <c r="D53" s="359"/>
      <c r="E53" s="360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61"/>
      <c r="C58" s="362"/>
      <c r="D58" s="357"/>
      <c r="E58" s="363"/>
    </row>
    <row r="59" ht="15.75" customHeight="1">
      <c r="A59" s="364"/>
      <c r="B59" s="365"/>
      <c r="C59" s="365"/>
      <c r="D59" s="365"/>
      <c r="E59" s="360"/>
    </row>
    <row r="60" ht="15.75" customHeight="1">
      <c r="A60" s="366"/>
      <c r="B60" s="357"/>
      <c r="C60" s="366"/>
      <c r="D60" s="366"/>
      <c r="E60" s="366"/>
    </row>
    <row r="61" ht="15.75" customHeight="1">
      <c r="A61" s="366"/>
      <c r="B61" s="357"/>
      <c r="C61" s="366"/>
      <c r="D61" s="366"/>
      <c r="E61" s="366"/>
    </row>
    <row r="62" ht="15.75" customHeight="1">
      <c r="A62" s="366"/>
      <c r="B62" s="357"/>
      <c r="C62" s="366"/>
      <c r="D62" s="366"/>
      <c r="E62" s="366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8:E18"/>
    <mergeCell ref="A19:E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A39:C39"/>
    <mergeCell ref="D41:E41"/>
    <mergeCell ref="D42:E42"/>
    <mergeCell ref="D43:E43"/>
    <mergeCell ref="A45:E45"/>
    <mergeCell ref="A46:E46"/>
    <mergeCell ref="D57:E57"/>
    <mergeCell ref="A59:E59"/>
    <mergeCell ref="A49:E49"/>
    <mergeCell ref="D51:E51"/>
    <mergeCell ref="D52:E52"/>
    <mergeCell ref="D53:E53"/>
    <mergeCell ref="D54:E54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585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53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354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355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/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128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/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/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85"/>
      <c r="B27" s="118"/>
      <c r="C27" s="120"/>
      <c r="D27" s="121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356"/>
      <c r="B50" s="356"/>
      <c r="C50" s="356"/>
      <c r="D50" s="356"/>
      <c r="E50" s="356"/>
      <c r="F50" s="139"/>
      <c r="G50" s="139"/>
      <c r="H50" s="139"/>
      <c r="I50" s="139"/>
      <c r="J50" s="139"/>
      <c r="K50" s="139"/>
    </row>
    <row r="51" ht="15.75" customHeight="1">
      <c r="A51" s="355"/>
      <c r="B51" s="357"/>
      <c r="C51" s="358"/>
      <c r="D51" s="359"/>
      <c r="E51" s="360"/>
    </row>
    <row r="52" ht="15.75" customHeight="1">
      <c r="A52" s="355"/>
      <c r="B52" s="357"/>
      <c r="C52" s="358"/>
      <c r="D52" s="359"/>
      <c r="E52" s="360"/>
    </row>
    <row r="53" ht="15.75" customHeight="1">
      <c r="A53" s="355"/>
      <c r="B53" s="357"/>
      <c r="C53" s="358"/>
      <c r="D53" s="359"/>
      <c r="E53" s="360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61"/>
      <c r="C58" s="362"/>
      <c r="D58" s="357"/>
      <c r="E58" s="363"/>
    </row>
    <row r="59" ht="15.75" customHeight="1">
      <c r="A59" s="364"/>
      <c r="B59" s="365"/>
      <c r="C59" s="365"/>
      <c r="D59" s="365"/>
      <c r="E59" s="360"/>
    </row>
    <row r="60" ht="15.75" customHeight="1">
      <c r="A60" s="366"/>
      <c r="B60" s="357"/>
      <c r="C60" s="366"/>
      <c r="D60" s="366"/>
      <c r="E60" s="366"/>
    </row>
    <row r="61" ht="15.75" customHeight="1">
      <c r="A61" s="366"/>
      <c r="B61" s="357"/>
      <c r="C61" s="366"/>
      <c r="D61" s="366"/>
      <c r="E61" s="366"/>
    </row>
    <row r="62" ht="15.75" customHeight="1">
      <c r="A62" s="366"/>
      <c r="B62" s="357"/>
      <c r="C62" s="366"/>
      <c r="D62" s="366"/>
      <c r="E62" s="366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8:E18"/>
    <mergeCell ref="A19:E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A39:C39"/>
    <mergeCell ref="D41:E41"/>
    <mergeCell ref="D42:E42"/>
    <mergeCell ref="D43:E43"/>
    <mergeCell ref="A45:E45"/>
    <mergeCell ref="A46:E46"/>
    <mergeCell ref="D57:E57"/>
    <mergeCell ref="A59:E59"/>
    <mergeCell ref="A49:E49"/>
    <mergeCell ref="D51:E51"/>
    <mergeCell ref="D52:E52"/>
    <mergeCell ref="D53:E53"/>
    <mergeCell ref="D54:E54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585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53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354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355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/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128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/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/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85"/>
      <c r="B27" s="118"/>
      <c r="C27" s="120"/>
      <c r="D27" s="121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356"/>
      <c r="B50" s="356"/>
      <c r="C50" s="356"/>
      <c r="D50" s="356"/>
      <c r="E50" s="356"/>
      <c r="F50" s="139"/>
      <c r="G50" s="139"/>
      <c r="H50" s="139"/>
      <c r="I50" s="139"/>
      <c r="J50" s="139"/>
      <c r="K50" s="139"/>
    </row>
    <row r="51" ht="15.75" customHeight="1">
      <c r="A51" s="355"/>
      <c r="B51" s="357"/>
      <c r="C51" s="358"/>
      <c r="D51" s="359"/>
      <c r="E51" s="360"/>
    </row>
    <row r="52" ht="15.75" customHeight="1">
      <c r="A52" s="355"/>
      <c r="B52" s="357"/>
      <c r="C52" s="358"/>
      <c r="D52" s="359"/>
      <c r="E52" s="360"/>
    </row>
    <row r="53" ht="15.75" customHeight="1">
      <c r="A53" s="355"/>
      <c r="B53" s="357"/>
      <c r="C53" s="358"/>
      <c r="D53" s="359"/>
      <c r="E53" s="360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61"/>
      <c r="C58" s="362"/>
      <c r="D58" s="357"/>
      <c r="E58" s="363"/>
    </row>
    <row r="59" ht="15.75" customHeight="1">
      <c r="A59" s="364"/>
      <c r="B59" s="365"/>
      <c r="C59" s="365"/>
      <c r="D59" s="365"/>
      <c r="E59" s="360"/>
    </row>
    <row r="60" ht="15.75" customHeight="1">
      <c r="A60" s="366"/>
      <c r="B60" s="357"/>
      <c r="C60" s="366"/>
      <c r="D60" s="366"/>
      <c r="E60" s="366"/>
    </row>
    <row r="61" ht="15.75" customHeight="1">
      <c r="A61" s="366"/>
      <c r="B61" s="357"/>
      <c r="C61" s="366"/>
      <c r="D61" s="366"/>
      <c r="E61" s="366"/>
    </row>
    <row r="62" ht="15.75" customHeight="1">
      <c r="A62" s="366"/>
      <c r="B62" s="357"/>
      <c r="C62" s="366"/>
      <c r="D62" s="366"/>
      <c r="E62" s="366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8:E18"/>
    <mergeCell ref="A19:E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A39:C39"/>
    <mergeCell ref="D41:E41"/>
    <mergeCell ref="D42:E42"/>
    <mergeCell ref="D43:E43"/>
    <mergeCell ref="A45:E45"/>
    <mergeCell ref="A46:E46"/>
    <mergeCell ref="D57:E57"/>
    <mergeCell ref="A59:E59"/>
    <mergeCell ref="A49:E49"/>
    <mergeCell ref="D51:E51"/>
    <mergeCell ref="D52:E52"/>
    <mergeCell ref="D53:E53"/>
    <mergeCell ref="D54:E54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585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53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354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355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/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128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/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/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85"/>
      <c r="B27" s="118"/>
      <c r="C27" s="120"/>
      <c r="D27" s="121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356"/>
      <c r="B50" s="356"/>
      <c r="C50" s="356"/>
      <c r="D50" s="356"/>
      <c r="E50" s="356"/>
      <c r="F50" s="139"/>
      <c r="G50" s="139"/>
      <c r="H50" s="139"/>
      <c r="I50" s="139"/>
      <c r="J50" s="139"/>
      <c r="K50" s="139"/>
    </row>
    <row r="51" ht="15.75" customHeight="1">
      <c r="A51" s="355"/>
      <c r="B51" s="357"/>
      <c r="C51" s="358"/>
      <c r="D51" s="359"/>
      <c r="E51" s="360"/>
    </row>
    <row r="52" ht="15.75" customHeight="1">
      <c r="A52" s="355"/>
      <c r="B52" s="357"/>
      <c r="C52" s="358"/>
      <c r="D52" s="359"/>
      <c r="E52" s="360"/>
    </row>
    <row r="53" ht="15.75" customHeight="1">
      <c r="A53" s="355"/>
      <c r="B53" s="357"/>
      <c r="C53" s="358"/>
      <c r="D53" s="359"/>
      <c r="E53" s="360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61"/>
      <c r="C58" s="362"/>
      <c r="D58" s="357"/>
      <c r="E58" s="363"/>
    </row>
    <row r="59" ht="15.75" customHeight="1">
      <c r="A59" s="364"/>
      <c r="B59" s="365"/>
      <c r="C59" s="365"/>
      <c r="D59" s="365"/>
      <c r="E59" s="360"/>
    </row>
    <row r="60" ht="15.75" customHeight="1">
      <c r="A60" s="366"/>
      <c r="B60" s="357"/>
      <c r="C60" s="366"/>
      <c r="D60" s="366"/>
      <c r="E60" s="366"/>
    </row>
    <row r="61" ht="15.75" customHeight="1">
      <c r="A61" s="366"/>
      <c r="B61" s="357"/>
      <c r="C61" s="366"/>
      <c r="D61" s="366"/>
      <c r="E61" s="366"/>
    </row>
    <row r="62" ht="15.75" customHeight="1">
      <c r="A62" s="366"/>
      <c r="B62" s="357"/>
      <c r="C62" s="366"/>
      <c r="D62" s="366"/>
      <c r="E62" s="366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8:E18"/>
    <mergeCell ref="A19:E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A39:C39"/>
    <mergeCell ref="D41:E41"/>
    <mergeCell ref="D42:E42"/>
    <mergeCell ref="D43:E43"/>
    <mergeCell ref="A45:E45"/>
    <mergeCell ref="A46:E46"/>
    <mergeCell ref="D57:E57"/>
    <mergeCell ref="A59:E59"/>
    <mergeCell ref="A49:E49"/>
    <mergeCell ref="D51:E51"/>
    <mergeCell ref="D52:E52"/>
    <mergeCell ref="D53:E53"/>
    <mergeCell ref="D54:E54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585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53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354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355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/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128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/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/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85"/>
      <c r="B27" s="118"/>
      <c r="C27" s="120"/>
      <c r="D27" s="121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356"/>
      <c r="B50" s="356"/>
      <c r="C50" s="356"/>
      <c r="D50" s="356"/>
      <c r="E50" s="356"/>
      <c r="F50" s="139"/>
      <c r="G50" s="139"/>
      <c r="H50" s="139"/>
      <c r="I50" s="139"/>
      <c r="J50" s="139"/>
      <c r="K50" s="139"/>
    </row>
    <row r="51" ht="15.75" customHeight="1">
      <c r="A51" s="355"/>
      <c r="B51" s="357"/>
      <c r="C51" s="358"/>
      <c r="D51" s="359"/>
      <c r="E51" s="360"/>
    </row>
    <row r="52" ht="15.75" customHeight="1">
      <c r="A52" s="355"/>
      <c r="B52" s="357"/>
      <c r="C52" s="358"/>
      <c r="D52" s="359"/>
      <c r="E52" s="360"/>
    </row>
    <row r="53" ht="15.75" customHeight="1">
      <c r="A53" s="355"/>
      <c r="B53" s="357"/>
      <c r="C53" s="358"/>
      <c r="D53" s="359"/>
      <c r="E53" s="360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61"/>
      <c r="C58" s="362"/>
      <c r="D58" s="357"/>
      <c r="E58" s="363"/>
    </row>
    <row r="59" ht="15.75" customHeight="1">
      <c r="A59" s="364"/>
      <c r="B59" s="365"/>
      <c r="C59" s="365"/>
      <c r="D59" s="365"/>
      <c r="E59" s="360"/>
    </row>
    <row r="60" ht="15.75" customHeight="1">
      <c r="A60" s="366"/>
      <c r="B60" s="357"/>
      <c r="C60" s="366"/>
      <c r="D60" s="366"/>
      <c r="E60" s="366"/>
    </row>
    <row r="61" ht="15.75" customHeight="1">
      <c r="A61" s="366"/>
      <c r="B61" s="357"/>
      <c r="C61" s="366"/>
      <c r="D61" s="366"/>
      <c r="E61" s="366"/>
    </row>
    <row r="62" ht="15.75" customHeight="1">
      <c r="A62" s="366"/>
      <c r="B62" s="357"/>
      <c r="C62" s="366"/>
      <c r="D62" s="366"/>
      <c r="E62" s="366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8:E18"/>
    <mergeCell ref="A19:E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A39:C39"/>
    <mergeCell ref="D41:E41"/>
    <mergeCell ref="D42:E42"/>
    <mergeCell ref="D43:E43"/>
    <mergeCell ref="A45:E45"/>
    <mergeCell ref="A46:E46"/>
    <mergeCell ref="D57:E57"/>
    <mergeCell ref="A59:E59"/>
    <mergeCell ref="A49:E49"/>
    <mergeCell ref="D51:E51"/>
    <mergeCell ref="D52:E52"/>
    <mergeCell ref="D53:E53"/>
    <mergeCell ref="D54:E54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585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53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354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355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/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128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/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/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85"/>
      <c r="B27" s="118"/>
      <c r="C27" s="120"/>
      <c r="D27" s="121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356"/>
      <c r="B50" s="356"/>
      <c r="C50" s="356"/>
      <c r="D50" s="356"/>
      <c r="E50" s="356"/>
      <c r="F50" s="139"/>
      <c r="G50" s="139"/>
      <c r="H50" s="139"/>
      <c r="I50" s="139"/>
      <c r="J50" s="139"/>
      <c r="K50" s="139"/>
    </row>
    <row r="51" ht="15.75" customHeight="1">
      <c r="A51" s="355"/>
      <c r="B51" s="357"/>
      <c r="C51" s="358"/>
      <c r="D51" s="359"/>
      <c r="E51" s="360"/>
    </row>
    <row r="52" ht="15.75" customHeight="1">
      <c r="A52" s="355"/>
      <c r="B52" s="357"/>
      <c r="C52" s="358"/>
      <c r="D52" s="359"/>
      <c r="E52" s="360"/>
    </row>
    <row r="53" ht="15.75" customHeight="1">
      <c r="A53" s="355"/>
      <c r="B53" s="357"/>
      <c r="C53" s="358"/>
      <c r="D53" s="359"/>
      <c r="E53" s="360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61"/>
      <c r="C58" s="362"/>
      <c r="D58" s="357"/>
      <c r="E58" s="363"/>
    </row>
    <row r="59" ht="15.75" customHeight="1">
      <c r="A59" s="364"/>
      <c r="B59" s="365"/>
      <c r="C59" s="365"/>
      <c r="D59" s="365"/>
      <c r="E59" s="360"/>
    </row>
    <row r="60" ht="15.75" customHeight="1">
      <c r="A60" s="366"/>
      <c r="B60" s="357"/>
      <c r="C60" s="366"/>
      <c r="D60" s="366"/>
      <c r="E60" s="366"/>
    </row>
    <row r="61" ht="15.75" customHeight="1">
      <c r="A61" s="366"/>
      <c r="B61" s="357"/>
      <c r="C61" s="366"/>
      <c r="D61" s="366"/>
      <c r="E61" s="366"/>
    </row>
    <row r="62" ht="15.75" customHeight="1">
      <c r="A62" s="366"/>
      <c r="B62" s="357"/>
      <c r="C62" s="366"/>
      <c r="D62" s="366"/>
      <c r="E62" s="366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8:E18"/>
    <mergeCell ref="A19:E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A39:C39"/>
    <mergeCell ref="D41:E41"/>
    <mergeCell ref="D42:E42"/>
    <mergeCell ref="D43:E43"/>
    <mergeCell ref="A45:E45"/>
    <mergeCell ref="A46:E46"/>
    <mergeCell ref="D57:E57"/>
    <mergeCell ref="A59:E59"/>
    <mergeCell ref="A49:E49"/>
    <mergeCell ref="D51:E51"/>
    <mergeCell ref="D52:E52"/>
    <mergeCell ref="D53:E53"/>
    <mergeCell ref="D54:E54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37.0"/>
    <col customWidth="1" min="2" max="2" width="17.13"/>
    <col customWidth="1" min="3" max="3" width="14.0"/>
    <col customWidth="1" min="4" max="4" width="16.25"/>
    <col customWidth="1" min="5" max="5" width="35.0"/>
    <col customWidth="1" min="6" max="11" width="8.88"/>
  </cols>
  <sheetData>
    <row r="1" ht="6.75" customHeight="1">
      <c r="A1" s="1"/>
      <c r="B1" s="2"/>
      <c r="C1" s="3"/>
      <c r="D1" s="1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6"/>
      <c r="E2" s="6"/>
      <c r="F2" s="4"/>
      <c r="G2" s="4"/>
      <c r="H2" s="4"/>
      <c r="I2" s="4"/>
      <c r="J2" s="4"/>
      <c r="K2" s="4"/>
    </row>
    <row r="3" ht="57.0" customHeight="1">
      <c r="A3" s="8"/>
      <c r="E3" s="13" t="s">
        <v>2</v>
      </c>
      <c r="F3" s="4"/>
      <c r="G3" s="4"/>
      <c r="H3" s="4"/>
      <c r="I3" s="4"/>
      <c r="J3" s="4"/>
      <c r="K3" s="4"/>
    </row>
    <row r="4" ht="14.25" customHeight="1">
      <c r="A4" s="324" t="s">
        <v>596</v>
      </c>
      <c r="B4" s="8"/>
      <c r="C4" s="8"/>
      <c r="D4" s="8"/>
      <c r="E4" s="13"/>
      <c r="F4" s="4"/>
      <c r="G4" s="4"/>
      <c r="H4" s="4"/>
      <c r="I4" s="4"/>
      <c r="J4" s="4"/>
      <c r="K4" s="4"/>
    </row>
    <row r="5" ht="284.25" customHeight="1">
      <c r="A5" s="325"/>
      <c r="F5" s="4"/>
      <c r="G5" s="4"/>
      <c r="H5" s="4"/>
      <c r="I5" s="4"/>
      <c r="J5" s="4"/>
      <c r="K5" s="4"/>
    </row>
    <row r="6">
      <c r="A6" s="28"/>
      <c r="D6" s="21"/>
      <c r="E6" s="21"/>
      <c r="F6" s="25"/>
      <c r="G6" s="25"/>
      <c r="H6" s="25"/>
      <c r="I6" s="25"/>
      <c r="J6" s="25"/>
      <c r="K6" s="25"/>
    </row>
    <row r="7">
      <c r="A7" s="28" t="s">
        <v>585</v>
      </c>
      <c r="B7" s="28"/>
      <c r="C7" s="28"/>
      <c r="D7" s="21"/>
      <c r="E7" s="21"/>
      <c r="F7" s="25"/>
      <c r="G7" s="25"/>
      <c r="H7" s="25"/>
      <c r="I7" s="25"/>
      <c r="J7" s="25"/>
      <c r="K7" s="25"/>
    </row>
    <row r="8">
      <c r="A8" s="28" t="s">
        <v>310</v>
      </c>
      <c r="B8" s="28"/>
      <c r="C8" s="28"/>
      <c r="D8" s="21"/>
      <c r="E8" s="21"/>
      <c r="F8" s="25"/>
      <c r="G8" s="25"/>
      <c r="H8" s="25"/>
      <c r="I8" s="25"/>
      <c r="J8" s="25"/>
      <c r="K8" s="25"/>
    </row>
    <row r="9">
      <c r="A9" s="353" t="s">
        <v>12</v>
      </c>
      <c r="B9" s="34" t="s">
        <v>16</v>
      </c>
      <c r="C9" s="34" t="s">
        <v>20</v>
      </c>
      <c r="D9" s="41" t="s">
        <v>22</v>
      </c>
      <c r="E9" s="38"/>
      <c r="F9" s="45"/>
      <c r="G9" s="45"/>
      <c r="H9" s="45"/>
      <c r="I9" s="45"/>
      <c r="J9" s="45"/>
      <c r="K9" s="45"/>
    </row>
    <row r="10">
      <c r="A10" s="354"/>
      <c r="B10" s="64"/>
      <c r="C10" s="53"/>
      <c r="D10" s="55"/>
      <c r="E10" s="47"/>
      <c r="F10" s="45"/>
      <c r="G10" s="45"/>
      <c r="H10" s="45"/>
      <c r="I10" s="45"/>
      <c r="J10" s="45"/>
      <c r="K10" s="45"/>
    </row>
    <row r="11">
      <c r="A11" s="355"/>
      <c r="B11" s="64"/>
      <c r="C11" s="53"/>
      <c r="D11" s="55"/>
      <c r="E11" s="47"/>
      <c r="F11" s="45"/>
      <c r="G11" s="45"/>
      <c r="H11" s="45"/>
      <c r="I11" s="45"/>
      <c r="J11" s="45"/>
      <c r="K11" s="45"/>
    </row>
    <row r="12">
      <c r="A12" s="63"/>
      <c r="B12" s="64"/>
      <c r="C12" s="53"/>
      <c r="D12" s="55"/>
      <c r="E12" s="47"/>
      <c r="F12" s="45"/>
      <c r="G12" s="45"/>
      <c r="H12" s="45"/>
      <c r="I12" s="45"/>
      <c r="J12" s="45"/>
      <c r="K12" s="45"/>
    </row>
    <row r="13">
      <c r="A13" s="63"/>
      <c r="B13" s="64"/>
      <c r="C13" s="53"/>
      <c r="D13" s="55"/>
      <c r="E13" s="55"/>
      <c r="F13" s="45"/>
      <c r="G13" s="45"/>
      <c r="H13" s="45"/>
      <c r="I13" s="45"/>
      <c r="J13" s="45"/>
      <c r="K13" s="45"/>
    </row>
    <row r="14">
      <c r="A14" s="66" t="s">
        <v>48</v>
      </c>
      <c r="B14" s="68"/>
      <c r="C14" s="68"/>
      <c r="D14" s="71"/>
      <c r="E14" s="71"/>
      <c r="F14" s="45"/>
      <c r="G14" s="45"/>
      <c r="H14" s="45"/>
      <c r="I14" s="45"/>
      <c r="J14" s="45"/>
      <c r="K14" s="45"/>
    </row>
    <row r="15">
      <c r="A15" s="128"/>
      <c r="B15" s="73"/>
      <c r="C15" s="73"/>
      <c r="D15" s="73"/>
      <c r="E15" s="73"/>
      <c r="F15" s="45"/>
      <c r="G15" s="45"/>
      <c r="H15" s="45"/>
      <c r="I15" s="45"/>
      <c r="J15" s="45"/>
      <c r="K15" s="45"/>
    </row>
    <row r="16">
      <c r="A16" s="128"/>
      <c r="B16" s="73"/>
      <c r="C16" s="73"/>
      <c r="D16" s="73"/>
      <c r="E16" s="73"/>
      <c r="F16" s="45"/>
      <c r="G16" s="45"/>
      <c r="H16" s="45"/>
      <c r="I16" s="45"/>
      <c r="J16" s="45"/>
      <c r="K16" s="45"/>
    </row>
    <row r="17">
      <c r="A17" s="128"/>
      <c r="B17" s="73"/>
      <c r="C17" s="73"/>
      <c r="D17" s="73"/>
      <c r="E17" s="73"/>
      <c r="F17" s="45"/>
      <c r="G17" s="45"/>
      <c r="H17" s="45"/>
      <c r="I17" s="45"/>
      <c r="J17" s="45"/>
      <c r="K17" s="45"/>
    </row>
    <row r="18">
      <c r="A18" s="128"/>
      <c r="B18" s="73"/>
      <c r="C18" s="73"/>
      <c r="D18" s="73"/>
      <c r="E18" s="73"/>
      <c r="F18" s="45"/>
      <c r="G18" s="45"/>
      <c r="H18" s="45"/>
      <c r="I18" s="45"/>
      <c r="J18" s="45"/>
      <c r="K18" s="45"/>
    </row>
    <row r="19">
      <c r="A19" s="128"/>
      <c r="B19" s="73"/>
      <c r="C19" s="73"/>
      <c r="D19" s="73"/>
      <c r="E19" s="73"/>
      <c r="F19" s="45"/>
      <c r="G19" s="45"/>
      <c r="H19" s="45"/>
      <c r="I19" s="45"/>
      <c r="J19" s="45"/>
      <c r="K19" s="45"/>
    </row>
    <row r="20">
      <c r="A20" s="28"/>
      <c r="B20" s="28"/>
      <c r="C20" s="28"/>
      <c r="D20" s="45"/>
      <c r="E20" s="45"/>
      <c r="F20" s="45"/>
      <c r="G20" s="45"/>
      <c r="H20" s="45"/>
      <c r="I20" s="45"/>
      <c r="J20" s="45"/>
      <c r="K20" s="45"/>
    </row>
    <row r="21" ht="15.75" customHeight="1">
      <c r="A21" s="32" t="s">
        <v>12</v>
      </c>
      <c r="B21" s="34" t="s">
        <v>16</v>
      </c>
      <c r="C21" s="34" t="s">
        <v>20</v>
      </c>
      <c r="D21" s="41" t="s">
        <v>22</v>
      </c>
      <c r="E21" s="38"/>
      <c r="F21" s="45"/>
      <c r="G21" s="45"/>
      <c r="H21" s="45"/>
      <c r="I21" s="45"/>
      <c r="J21" s="45"/>
      <c r="K21" s="45"/>
    </row>
    <row r="22" ht="15.75" customHeight="1">
      <c r="A22" s="327"/>
      <c r="B22" s="97"/>
      <c r="C22" s="99" t="s">
        <v>60</v>
      </c>
      <c r="D22" s="55"/>
      <c r="E22" s="47"/>
      <c r="F22" s="45"/>
      <c r="G22" s="45"/>
      <c r="H22" s="45"/>
      <c r="I22" s="45"/>
      <c r="J22" s="45"/>
      <c r="K22" s="45"/>
    </row>
    <row r="23" ht="15.75" customHeight="1">
      <c r="A23" s="327"/>
      <c r="B23" s="97"/>
      <c r="C23" s="99"/>
      <c r="D23" s="55"/>
      <c r="E23" s="47"/>
      <c r="F23" s="45"/>
      <c r="G23" s="45"/>
      <c r="H23" s="45"/>
      <c r="I23" s="45"/>
      <c r="J23" s="45"/>
      <c r="K23" s="45"/>
    </row>
    <row r="24" ht="15.75" customHeight="1">
      <c r="A24" s="66" t="s">
        <v>62</v>
      </c>
      <c r="B24" s="111"/>
      <c r="C24" s="113" t="s">
        <v>60</v>
      </c>
      <c r="D24" s="71"/>
      <c r="E24" s="71"/>
      <c r="F24" s="45"/>
      <c r="G24" s="45"/>
      <c r="H24" s="45"/>
      <c r="I24" s="45"/>
      <c r="J24" s="45"/>
      <c r="K24" s="45"/>
    </row>
    <row r="25" ht="15.75" customHeight="1">
      <c r="A25" s="66" t="s">
        <v>64</v>
      </c>
      <c r="B25" s="114"/>
      <c r="C25" s="115"/>
      <c r="D25" s="116"/>
      <c r="E25" s="116"/>
      <c r="F25" s="45"/>
      <c r="G25" s="45"/>
      <c r="H25" s="45"/>
      <c r="I25" s="45"/>
      <c r="J25" s="45"/>
      <c r="K25" s="45"/>
    </row>
    <row r="26" ht="15.75" customHeight="1">
      <c r="A26" s="85"/>
      <c r="B26" s="118"/>
      <c r="C26" s="120"/>
      <c r="D26" s="121"/>
      <c r="E26" s="121"/>
      <c r="F26" s="45"/>
      <c r="G26" s="45"/>
      <c r="H26" s="45"/>
      <c r="I26" s="45"/>
      <c r="J26" s="45"/>
      <c r="K26" s="45"/>
    </row>
    <row r="27" ht="15.75" customHeight="1">
      <c r="A27" s="85"/>
      <c r="B27" s="118"/>
      <c r="C27" s="120"/>
      <c r="D27" s="121"/>
      <c r="F27" s="45"/>
      <c r="G27" s="45"/>
      <c r="H27" s="45"/>
      <c r="I27" s="45"/>
      <c r="J27" s="45"/>
      <c r="K27" s="45"/>
    </row>
    <row r="28" ht="15.75" customHeight="1">
      <c r="A28" s="85"/>
      <c r="B28" s="118"/>
      <c r="C28" s="120"/>
      <c r="D28" s="121"/>
      <c r="F28" s="45"/>
      <c r="G28" s="45"/>
      <c r="H28" s="45"/>
      <c r="I28" s="45"/>
      <c r="J28" s="45"/>
      <c r="K28" s="45"/>
    </row>
    <row r="29" ht="15.75" customHeight="1">
      <c r="A29" s="85"/>
      <c r="B29" s="118"/>
      <c r="C29" s="120"/>
      <c r="D29" s="121"/>
      <c r="E29" s="121"/>
      <c r="F29" s="45"/>
      <c r="G29" s="45"/>
      <c r="H29" s="45"/>
      <c r="I29" s="45"/>
      <c r="J29" s="45"/>
      <c r="K29" s="45"/>
    </row>
    <row r="30" ht="15.75" customHeight="1">
      <c r="A30" s="28"/>
      <c r="D30" s="121"/>
      <c r="E30" s="121"/>
      <c r="F30" s="45"/>
      <c r="G30" s="45"/>
      <c r="H30" s="45"/>
      <c r="I30" s="45"/>
      <c r="J30" s="45"/>
      <c r="K30" s="45"/>
    </row>
    <row r="31" ht="15.75" customHeight="1">
      <c r="A31" s="32" t="s">
        <v>12</v>
      </c>
      <c r="B31" s="34" t="s">
        <v>16</v>
      </c>
      <c r="C31" s="34" t="s">
        <v>20</v>
      </c>
      <c r="D31" s="41" t="s">
        <v>22</v>
      </c>
      <c r="E31" s="38"/>
      <c r="F31" s="45"/>
      <c r="G31" s="45"/>
      <c r="H31" s="45"/>
      <c r="I31" s="45"/>
      <c r="J31" s="45"/>
      <c r="K31" s="45"/>
    </row>
    <row r="32" ht="15.75" customHeight="1">
      <c r="A32" s="327"/>
      <c r="B32" s="97"/>
      <c r="C32" s="99"/>
      <c r="D32" s="55"/>
      <c r="E32" s="47"/>
      <c r="F32" s="45"/>
      <c r="G32" s="45"/>
      <c r="H32" s="45"/>
      <c r="I32" s="45"/>
      <c r="J32" s="45"/>
      <c r="K32" s="45"/>
    </row>
    <row r="33" ht="15.75" customHeight="1">
      <c r="A33" s="327"/>
      <c r="B33" s="97"/>
      <c r="C33" s="99"/>
      <c r="D33" s="55"/>
      <c r="E33" s="47"/>
      <c r="F33" s="45"/>
      <c r="G33" s="45"/>
      <c r="H33" s="45"/>
      <c r="I33" s="45"/>
      <c r="J33" s="45"/>
      <c r="K33" s="45"/>
    </row>
    <row r="34" ht="15.75" customHeight="1">
      <c r="A34" s="66" t="s">
        <v>62</v>
      </c>
      <c r="B34" s="111"/>
      <c r="C34" s="113"/>
      <c r="D34" s="71"/>
      <c r="E34" s="71"/>
      <c r="F34" s="45"/>
      <c r="G34" s="45"/>
      <c r="H34" s="45"/>
      <c r="I34" s="45"/>
      <c r="J34" s="45"/>
      <c r="K34" s="45"/>
    </row>
    <row r="35" ht="15.75" customHeight="1">
      <c r="A35" s="66" t="s">
        <v>64</v>
      </c>
      <c r="B35" s="114"/>
      <c r="C35" s="115"/>
      <c r="D35" s="116"/>
      <c r="E35" s="116"/>
      <c r="F35" s="45"/>
      <c r="G35" s="45"/>
      <c r="H35" s="45"/>
      <c r="I35" s="45"/>
      <c r="J35" s="45"/>
      <c r="K35" s="45"/>
    </row>
    <row r="36" ht="15.75" customHeight="1">
      <c r="A36" s="128"/>
      <c r="B36" s="128"/>
      <c r="C36" s="128"/>
      <c r="D36" s="128"/>
      <c r="E36" s="128"/>
      <c r="F36" s="45"/>
      <c r="G36" s="45"/>
      <c r="H36" s="45"/>
      <c r="I36" s="45"/>
      <c r="J36" s="45"/>
      <c r="K36" s="45"/>
    </row>
    <row r="37" ht="15.75" customHeight="1">
      <c r="A37" s="347"/>
      <c r="B37" s="141"/>
      <c r="C37" s="141"/>
      <c r="D37" s="141"/>
      <c r="E37" s="141"/>
      <c r="F37" s="45"/>
      <c r="G37" s="45"/>
      <c r="H37" s="45"/>
      <c r="I37" s="45"/>
      <c r="J37" s="45"/>
      <c r="K37" s="45"/>
    </row>
    <row r="38" ht="15.75" customHeight="1">
      <c r="A38" s="128"/>
      <c r="B38" s="128"/>
      <c r="C38" s="128"/>
      <c r="D38" s="128"/>
      <c r="E38" s="128"/>
      <c r="F38" s="45"/>
      <c r="G38" s="45"/>
      <c r="H38" s="45"/>
      <c r="I38" s="45"/>
      <c r="J38" s="45"/>
      <c r="K38" s="45"/>
    </row>
    <row r="39" ht="18.0" customHeight="1">
      <c r="A39" s="129"/>
      <c r="D39" s="130"/>
      <c r="E39" s="130"/>
      <c r="F39" s="130"/>
      <c r="G39" s="130"/>
      <c r="H39" s="130"/>
      <c r="I39" s="130"/>
      <c r="J39" s="130"/>
      <c r="K39" s="130"/>
    </row>
    <row r="40" ht="18.0" customHeight="1">
      <c r="A40" s="129"/>
      <c r="B40" s="129"/>
      <c r="C40" s="129"/>
      <c r="D40" s="130"/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41"/>
      <c r="E41" s="38"/>
    </row>
    <row r="42" ht="18.0" customHeight="1">
      <c r="A42" s="327"/>
      <c r="B42" s="64"/>
      <c r="C42" s="53"/>
      <c r="D42" s="55"/>
      <c r="E42" s="47"/>
    </row>
    <row r="43" ht="18.0" customHeight="1">
      <c r="A43" s="63"/>
      <c r="B43" s="64"/>
      <c r="C43" s="53"/>
      <c r="D43" s="55"/>
      <c r="E43" s="47"/>
    </row>
    <row r="44" ht="18.0" customHeight="1">
      <c r="A44" s="132" t="s">
        <v>62</v>
      </c>
      <c r="B44" s="133"/>
      <c r="C44" s="134"/>
      <c r="D44" s="135"/>
      <c r="E44" s="136"/>
    </row>
    <row r="45" ht="15.75" customHeight="1">
      <c r="A45" s="137" t="s">
        <v>64</v>
      </c>
      <c r="B45" s="138"/>
      <c r="C45" s="138"/>
      <c r="D45" s="138"/>
      <c r="E45" s="138"/>
      <c r="F45" s="139"/>
      <c r="G45" s="139"/>
      <c r="H45" s="139"/>
      <c r="I45" s="139"/>
      <c r="J45" s="139"/>
      <c r="K45" s="139"/>
    </row>
    <row r="46" ht="15.75" customHeight="1">
      <c r="A46" s="143"/>
      <c r="B46" s="141"/>
      <c r="C46" s="141"/>
      <c r="D46" s="141"/>
      <c r="E46" s="141"/>
      <c r="F46" s="139"/>
      <c r="G46" s="139"/>
      <c r="H46" s="139"/>
      <c r="I46" s="139"/>
      <c r="J46" s="139"/>
      <c r="K46" s="139"/>
    </row>
    <row r="47" ht="15.75" customHeight="1">
      <c r="A47" s="143"/>
      <c r="B47" s="143"/>
      <c r="C47" s="143"/>
      <c r="D47" s="143"/>
      <c r="E47" s="143"/>
      <c r="F47" s="139"/>
      <c r="G47" s="139"/>
      <c r="H47" s="139"/>
      <c r="I47" s="139"/>
      <c r="J47" s="139"/>
      <c r="K47" s="139"/>
    </row>
    <row r="48" ht="15.75" customHeight="1">
      <c r="A48" s="143"/>
      <c r="B48" s="143"/>
      <c r="C48" s="143"/>
      <c r="D48" s="143"/>
      <c r="E48" s="143"/>
      <c r="F48" s="139"/>
      <c r="G48" s="139"/>
      <c r="H48" s="139"/>
      <c r="I48" s="139"/>
      <c r="J48" s="139"/>
      <c r="K48" s="139"/>
    </row>
    <row r="49" ht="15.75" customHeight="1">
      <c r="A49" s="143"/>
      <c r="B49" s="141"/>
      <c r="C49" s="141"/>
      <c r="D49" s="141"/>
      <c r="E49" s="141"/>
      <c r="F49" s="139"/>
      <c r="G49" s="139"/>
      <c r="H49" s="139"/>
      <c r="I49" s="139"/>
      <c r="J49" s="139"/>
      <c r="K49" s="139"/>
    </row>
    <row r="50" ht="15.75" customHeight="1">
      <c r="A50" s="356"/>
      <c r="B50" s="356"/>
      <c r="C50" s="356"/>
      <c r="D50" s="356"/>
      <c r="E50" s="356"/>
      <c r="F50" s="139"/>
      <c r="G50" s="139"/>
      <c r="H50" s="139"/>
      <c r="I50" s="139"/>
      <c r="J50" s="139"/>
      <c r="K50" s="139"/>
    </row>
    <row r="51" ht="15.75" customHeight="1">
      <c r="A51" s="355"/>
      <c r="B51" s="357"/>
      <c r="C51" s="358"/>
      <c r="D51" s="359"/>
      <c r="E51" s="360"/>
    </row>
    <row r="52" ht="15.75" customHeight="1">
      <c r="A52" s="355"/>
      <c r="B52" s="357"/>
      <c r="C52" s="358"/>
      <c r="D52" s="359"/>
      <c r="E52" s="360"/>
    </row>
    <row r="53" ht="15.75" customHeight="1">
      <c r="A53" s="355"/>
      <c r="B53" s="357"/>
      <c r="C53" s="358"/>
      <c r="D53" s="359"/>
      <c r="E53" s="360"/>
    </row>
    <row r="54" ht="15.75" customHeight="1">
      <c r="A54" s="355"/>
      <c r="B54" s="357"/>
      <c r="C54" s="358"/>
      <c r="D54" s="359"/>
      <c r="E54" s="360"/>
    </row>
    <row r="55" ht="15.75" customHeight="1">
      <c r="A55" s="355"/>
      <c r="B55" s="357"/>
      <c r="C55" s="358"/>
      <c r="D55" s="359"/>
      <c r="E55" s="360"/>
    </row>
    <row r="56" ht="15.75" customHeight="1">
      <c r="A56" s="355"/>
      <c r="B56" s="357"/>
      <c r="C56" s="358"/>
      <c r="D56" s="359"/>
      <c r="E56" s="360"/>
    </row>
    <row r="57" ht="15.75" customHeight="1">
      <c r="A57" s="355"/>
      <c r="B57" s="357"/>
      <c r="C57" s="358"/>
      <c r="D57" s="359"/>
      <c r="E57" s="360"/>
    </row>
    <row r="58" ht="15.75" customHeight="1">
      <c r="A58" s="355"/>
      <c r="B58" s="361"/>
      <c r="C58" s="362"/>
      <c r="D58" s="357"/>
      <c r="E58" s="363"/>
    </row>
    <row r="59" ht="15.75" customHeight="1">
      <c r="A59" s="364"/>
      <c r="B59" s="365"/>
      <c r="C59" s="365"/>
      <c r="D59" s="365"/>
      <c r="E59" s="360"/>
    </row>
    <row r="60" ht="15.75" customHeight="1">
      <c r="A60" s="366"/>
      <c r="B60" s="357"/>
      <c r="C60" s="366"/>
      <c r="D60" s="366"/>
      <c r="E60" s="366"/>
    </row>
    <row r="61" ht="15.75" customHeight="1">
      <c r="A61" s="366"/>
      <c r="B61" s="357"/>
      <c r="C61" s="366"/>
      <c r="D61" s="366"/>
      <c r="E61" s="366"/>
    </row>
    <row r="62" ht="15.75" customHeight="1">
      <c r="A62" s="366"/>
      <c r="B62" s="357"/>
      <c r="C62" s="366"/>
      <c r="D62" s="366"/>
      <c r="E62" s="366"/>
    </row>
    <row r="63" ht="15.75" customHeight="1">
      <c r="A63" s="366"/>
      <c r="B63" s="357"/>
      <c r="C63" s="366"/>
      <c r="D63" s="366"/>
      <c r="E63" s="366"/>
    </row>
    <row r="64" ht="15.75" customHeight="1">
      <c r="A64" s="366"/>
      <c r="B64" s="357"/>
      <c r="C64" s="366"/>
      <c r="D64" s="366"/>
      <c r="E64" s="366"/>
    </row>
    <row r="65" ht="15.75" customHeight="1">
      <c r="A65" s="366"/>
      <c r="B65" s="357"/>
      <c r="C65" s="366"/>
      <c r="D65" s="366"/>
      <c r="E65" s="366"/>
    </row>
    <row r="66" ht="15.75" customHeight="1">
      <c r="A66" s="366"/>
      <c r="B66" s="357"/>
      <c r="C66" s="366"/>
      <c r="D66" s="366"/>
      <c r="E66" s="366"/>
    </row>
    <row r="67" ht="15.75" customHeight="1">
      <c r="A67" s="366"/>
      <c r="B67" s="357"/>
      <c r="C67" s="366"/>
      <c r="D67" s="366"/>
      <c r="E67" s="366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3:D3"/>
    <mergeCell ref="A5:E5"/>
    <mergeCell ref="A6:C6"/>
    <mergeCell ref="D9:E9"/>
    <mergeCell ref="D10:E10"/>
    <mergeCell ref="D11:E11"/>
    <mergeCell ref="D12:E12"/>
    <mergeCell ref="A15:E15"/>
    <mergeCell ref="A16:E16"/>
    <mergeCell ref="A17:E17"/>
    <mergeCell ref="A18:E18"/>
    <mergeCell ref="A19:E19"/>
    <mergeCell ref="D21:E21"/>
    <mergeCell ref="D22:E22"/>
    <mergeCell ref="D23:E23"/>
    <mergeCell ref="D27:E27"/>
    <mergeCell ref="D28:E28"/>
    <mergeCell ref="A30:C30"/>
    <mergeCell ref="D31:E31"/>
    <mergeCell ref="D32:E32"/>
    <mergeCell ref="D33:E33"/>
    <mergeCell ref="A37:E37"/>
    <mergeCell ref="A39:C39"/>
    <mergeCell ref="D41:E41"/>
    <mergeCell ref="D42:E42"/>
    <mergeCell ref="D43:E43"/>
    <mergeCell ref="A45:E45"/>
    <mergeCell ref="A46:E46"/>
    <mergeCell ref="D57:E57"/>
    <mergeCell ref="A59:E59"/>
    <mergeCell ref="A49:E49"/>
    <mergeCell ref="D51:E51"/>
    <mergeCell ref="D52:E52"/>
    <mergeCell ref="D53:E53"/>
    <mergeCell ref="D54:E54"/>
    <mergeCell ref="D55:E55"/>
    <mergeCell ref="D56:E56"/>
  </mergeCells>
  <printOptions/>
  <pageMargins bottom="0.787401575" footer="0.0" header="0.0" left="0.511811024" right="0.511811024" top="0.787401575"/>
  <pageSetup paperSize="9" scale="61" orientation="portrait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88"/>
    <col customWidth="1" min="2" max="2" width="23.88"/>
    <col customWidth="1" min="3" max="3" width="11.38"/>
    <col customWidth="1" min="4" max="4" width="19.38"/>
    <col customWidth="1" min="5" max="6" width="21.0"/>
    <col customWidth="1" min="7" max="7" width="20.0"/>
    <col customWidth="1" min="8" max="8" width="28.75"/>
    <col customWidth="1" min="9" max="11" width="8.88"/>
  </cols>
  <sheetData>
    <row r="1">
      <c r="A1" s="5"/>
      <c r="B1" s="5"/>
      <c r="C1" s="5"/>
      <c r="D1" s="5"/>
      <c r="E1" s="5"/>
      <c r="F1" s="5"/>
      <c r="G1" s="5"/>
      <c r="H1" s="5"/>
    </row>
    <row r="2">
      <c r="A2" s="5"/>
      <c r="B2" s="5"/>
      <c r="C2" s="5"/>
      <c r="D2" s="5"/>
      <c r="E2" s="5"/>
      <c r="F2" s="5"/>
      <c r="G2" s="5"/>
      <c r="H2" s="5"/>
    </row>
    <row r="3" ht="72.0" customHeight="1">
      <c r="A3" s="8" t="s">
        <v>959</v>
      </c>
      <c r="C3" s="8"/>
      <c r="D3" s="4"/>
      <c r="E3" s="8"/>
      <c r="F3" s="8"/>
      <c r="G3" s="9"/>
      <c r="H3" s="10" t="s">
        <v>2</v>
      </c>
      <c r="I3" s="4"/>
      <c r="J3" s="4"/>
      <c r="K3" s="4"/>
    </row>
    <row r="4">
      <c r="A4" s="24" t="s">
        <v>4</v>
      </c>
      <c r="B4" s="22">
        <v>45848.0</v>
      </c>
      <c r="C4" s="24"/>
      <c r="D4" s="27"/>
      <c r="E4" s="24"/>
      <c r="F4" s="24"/>
      <c r="G4" s="5"/>
      <c r="H4" s="5"/>
    </row>
    <row r="5">
      <c r="A5" s="27"/>
      <c r="B5" s="27"/>
      <c r="C5" s="27"/>
      <c r="D5" s="27"/>
      <c r="E5" s="27"/>
      <c r="F5" s="27"/>
      <c r="G5" s="5"/>
      <c r="H5" s="5"/>
    </row>
    <row r="6">
      <c r="A6" s="31" t="s">
        <v>962</v>
      </c>
      <c r="B6" s="31" t="s">
        <v>11</v>
      </c>
      <c r="C6" s="33" t="s">
        <v>963</v>
      </c>
      <c r="D6" s="33" t="s">
        <v>964</v>
      </c>
      <c r="E6" s="33" t="s">
        <v>965</v>
      </c>
      <c r="F6" s="33" t="s">
        <v>966</v>
      </c>
      <c r="G6" s="31" t="s">
        <v>967</v>
      </c>
      <c r="H6" s="31" t="s">
        <v>968</v>
      </c>
      <c r="I6" s="5"/>
      <c r="J6" s="5"/>
      <c r="K6" s="5"/>
    </row>
    <row r="7">
      <c r="A7" s="373"/>
      <c r="B7" s="40" t="s">
        <v>969</v>
      </c>
      <c r="C7" s="375">
        <v>6.818999999999999</v>
      </c>
      <c r="D7" s="376">
        <v>4.0</v>
      </c>
      <c r="E7" s="377">
        <f t="shared" ref="E7:E19" si="1">C7*(1+D7)</f>
        <v>34.095</v>
      </c>
      <c r="F7" s="375">
        <v>35.0</v>
      </c>
      <c r="G7" s="40"/>
      <c r="H7" s="40"/>
    </row>
    <row r="8">
      <c r="A8" s="373"/>
      <c r="B8" s="40" t="s">
        <v>972</v>
      </c>
      <c r="C8" s="375">
        <v>7.5427333333333335</v>
      </c>
      <c r="D8" s="376">
        <v>4.0</v>
      </c>
      <c r="E8" s="377">
        <f t="shared" si="1"/>
        <v>37.71366667</v>
      </c>
      <c r="F8" s="375">
        <v>38.0</v>
      </c>
      <c r="G8" s="40"/>
      <c r="H8" s="40"/>
    </row>
    <row r="9">
      <c r="A9" s="373"/>
      <c r="B9" s="40" t="s">
        <v>974</v>
      </c>
      <c r="C9" s="375">
        <v>10.434983333333333</v>
      </c>
      <c r="D9" s="376">
        <v>4.0</v>
      </c>
      <c r="E9" s="377">
        <f t="shared" si="1"/>
        <v>52.17491667</v>
      </c>
      <c r="F9" s="375">
        <v>45.0</v>
      </c>
      <c r="G9" s="40"/>
      <c r="H9" s="40"/>
    </row>
    <row r="10">
      <c r="A10" s="373"/>
      <c r="B10" s="40" t="s">
        <v>975</v>
      </c>
      <c r="C10" s="375">
        <v>8.417000000000002</v>
      </c>
      <c r="D10" s="376">
        <v>4.0</v>
      </c>
      <c r="E10" s="377">
        <f t="shared" si="1"/>
        <v>42.085</v>
      </c>
      <c r="F10" s="375">
        <v>41.0</v>
      </c>
      <c r="G10" s="40"/>
      <c r="H10" s="40"/>
    </row>
    <row r="11">
      <c r="A11" s="373"/>
      <c r="B11" s="40" t="s">
        <v>976</v>
      </c>
      <c r="C11" s="375">
        <v>3.396</v>
      </c>
      <c r="D11" s="376">
        <v>4.0</v>
      </c>
      <c r="E11" s="377">
        <f t="shared" si="1"/>
        <v>16.98</v>
      </c>
      <c r="F11" s="375">
        <v>36.0</v>
      </c>
      <c r="G11" s="40"/>
      <c r="H11" s="40"/>
    </row>
    <row r="12">
      <c r="A12" s="373"/>
      <c r="B12" s="40" t="s">
        <v>977</v>
      </c>
      <c r="C12" s="375">
        <v>4.710666666666667</v>
      </c>
      <c r="D12" s="376">
        <v>4.0</v>
      </c>
      <c r="E12" s="377">
        <f t="shared" si="1"/>
        <v>23.55333333</v>
      </c>
      <c r="F12" s="375">
        <v>35.0</v>
      </c>
      <c r="G12" s="40"/>
      <c r="H12" s="40"/>
    </row>
    <row r="13">
      <c r="A13" s="373"/>
      <c r="B13" s="40" t="s">
        <v>979</v>
      </c>
      <c r="C13" s="375">
        <v>18.514166666666664</v>
      </c>
      <c r="D13" s="376">
        <v>4.0</v>
      </c>
      <c r="E13" s="377">
        <f t="shared" si="1"/>
        <v>92.57083333</v>
      </c>
      <c r="F13" s="375">
        <v>48.0</v>
      </c>
      <c r="G13" s="40"/>
      <c r="H13" s="40"/>
    </row>
    <row r="14">
      <c r="A14" s="373"/>
      <c r="B14" s="40" t="s">
        <v>982</v>
      </c>
      <c r="C14" s="375">
        <v>10.388833333333332</v>
      </c>
      <c r="D14" s="376">
        <v>4.0</v>
      </c>
      <c r="E14" s="377">
        <f t="shared" si="1"/>
        <v>51.94416667</v>
      </c>
      <c r="F14" s="375">
        <v>45.0</v>
      </c>
      <c r="G14" s="40"/>
      <c r="H14" s="40"/>
    </row>
    <row r="15">
      <c r="A15" s="373"/>
      <c r="B15" s="40" t="s">
        <v>984</v>
      </c>
      <c r="C15" s="375">
        <v>4.8685</v>
      </c>
      <c r="D15" s="376">
        <v>4.0</v>
      </c>
      <c r="E15" s="377">
        <f t="shared" si="1"/>
        <v>24.3425</v>
      </c>
      <c r="F15" s="375">
        <v>32.0</v>
      </c>
      <c r="G15" s="40"/>
      <c r="H15" s="40"/>
    </row>
    <row r="16">
      <c r="A16" s="373"/>
      <c r="B16" s="40" t="s">
        <v>986</v>
      </c>
      <c r="C16" s="375">
        <v>1.7999999999999998</v>
      </c>
      <c r="D16" s="376">
        <v>4.0</v>
      </c>
      <c r="E16" s="377">
        <f t="shared" si="1"/>
        <v>9</v>
      </c>
      <c r="F16" s="375">
        <v>32.0</v>
      </c>
      <c r="G16" s="40"/>
      <c r="H16" s="40"/>
    </row>
    <row r="17">
      <c r="A17" s="373"/>
      <c r="B17" s="40" t="s">
        <v>988</v>
      </c>
      <c r="C17" s="375">
        <v>6.526666666666666</v>
      </c>
      <c r="D17" s="376">
        <v>4.0</v>
      </c>
      <c r="E17" s="377">
        <f t="shared" si="1"/>
        <v>32.63333333</v>
      </c>
      <c r="F17" s="375">
        <v>34.0</v>
      </c>
      <c r="G17" s="40"/>
      <c r="H17" s="40"/>
    </row>
    <row r="18">
      <c r="A18" s="373"/>
      <c r="B18" s="40" t="s">
        <v>989</v>
      </c>
      <c r="C18" s="375">
        <v>1.7999999999999998</v>
      </c>
      <c r="D18" s="376">
        <v>4.0</v>
      </c>
      <c r="E18" s="377">
        <f t="shared" si="1"/>
        <v>9</v>
      </c>
      <c r="F18" s="375">
        <v>32.0</v>
      </c>
      <c r="G18" s="40"/>
      <c r="H18" s="40"/>
    </row>
    <row r="19">
      <c r="A19" s="373"/>
      <c r="B19" s="40" t="s">
        <v>723</v>
      </c>
      <c r="C19" s="375">
        <v>5.645</v>
      </c>
      <c r="D19" s="376">
        <v>4.0</v>
      </c>
      <c r="E19" s="377">
        <f t="shared" si="1"/>
        <v>28.225</v>
      </c>
      <c r="F19" s="375">
        <v>31.0</v>
      </c>
      <c r="G19" s="40"/>
      <c r="H19" s="40"/>
    </row>
    <row r="20">
      <c r="A20" s="373"/>
      <c r="B20" s="40" t="s">
        <v>992</v>
      </c>
      <c r="C20" s="375">
        <v>4.2156</v>
      </c>
      <c r="D20" s="376">
        <v>4.0</v>
      </c>
      <c r="E20" s="377">
        <f>C19*(1+D19)</f>
        <v>28.225</v>
      </c>
      <c r="F20" s="375">
        <v>35.0</v>
      </c>
      <c r="G20" s="40"/>
      <c r="H20" s="40"/>
    </row>
    <row r="21" ht="15.75" customHeight="1">
      <c r="A21" s="373"/>
      <c r="B21" s="40" t="s">
        <v>995</v>
      </c>
      <c r="C21" s="375">
        <v>12.64</v>
      </c>
      <c r="D21" s="376">
        <v>4.0</v>
      </c>
      <c r="E21" s="377">
        <f t="shared" ref="E21:E27" si="2">C21*(1+D21)</f>
        <v>63.2</v>
      </c>
      <c r="F21" s="375">
        <v>36.0</v>
      </c>
      <c r="G21" s="40" t="s">
        <v>998</v>
      </c>
      <c r="H21" s="40"/>
    </row>
    <row r="22" ht="15.75" customHeight="1">
      <c r="A22" s="373"/>
      <c r="B22" s="40" t="s">
        <v>999</v>
      </c>
      <c r="C22" s="375">
        <v>16.07591111111111</v>
      </c>
      <c r="D22" s="376">
        <v>4.0</v>
      </c>
      <c r="E22" s="377">
        <f t="shared" si="2"/>
        <v>80.37955556</v>
      </c>
      <c r="F22" s="375">
        <v>44.0</v>
      </c>
      <c r="G22" s="40"/>
      <c r="H22" s="40"/>
    </row>
    <row r="23" ht="15.75" customHeight="1">
      <c r="A23" s="373"/>
      <c r="B23" s="40" t="s">
        <v>1002</v>
      </c>
      <c r="C23" s="375">
        <v>15.689666666666664</v>
      </c>
      <c r="D23" s="376">
        <v>4.0</v>
      </c>
      <c r="E23" s="377">
        <f t="shared" si="2"/>
        <v>78.44833333</v>
      </c>
      <c r="F23" s="375">
        <v>43.0</v>
      </c>
      <c r="G23" s="40"/>
      <c r="H23" s="40"/>
    </row>
    <row r="24" ht="15.75" customHeight="1">
      <c r="A24" s="373"/>
      <c r="B24" s="40" t="s">
        <v>806</v>
      </c>
      <c r="C24" s="375">
        <v>2.4135</v>
      </c>
      <c r="D24" s="376">
        <v>4.0</v>
      </c>
      <c r="E24" s="377">
        <f t="shared" si="2"/>
        <v>12.0675</v>
      </c>
      <c r="F24" s="375">
        <v>37.0</v>
      </c>
      <c r="G24" s="40"/>
      <c r="H24" s="40"/>
    </row>
    <row r="25" ht="15.75" customHeight="1">
      <c r="A25" s="373"/>
      <c r="B25" s="40" t="s">
        <v>1006</v>
      </c>
      <c r="C25" s="375">
        <v>2.4135</v>
      </c>
      <c r="D25" s="376">
        <v>4.0</v>
      </c>
      <c r="E25" s="377">
        <f t="shared" si="2"/>
        <v>12.0675</v>
      </c>
      <c r="F25" s="375">
        <v>37.0</v>
      </c>
      <c r="G25" s="40"/>
      <c r="H25" s="40"/>
    </row>
    <row r="26" ht="15.75" customHeight="1">
      <c r="A26" s="373"/>
      <c r="B26" s="40" t="s">
        <v>1008</v>
      </c>
      <c r="C26" s="375">
        <v>6.792000000000001</v>
      </c>
      <c r="D26" s="376">
        <v>4.0</v>
      </c>
      <c r="E26" s="377">
        <f t="shared" si="2"/>
        <v>33.96</v>
      </c>
      <c r="F26" s="375">
        <v>36.0</v>
      </c>
      <c r="G26" s="40"/>
      <c r="H26" s="40"/>
    </row>
    <row r="27" ht="15.75" customHeight="1">
      <c r="A27" s="373"/>
      <c r="B27" s="40" t="s">
        <v>1012</v>
      </c>
      <c r="C27" s="375">
        <v>4.109</v>
      </c>
      <c r="D27" s="376">
        <v>4.0</v>
      </c>
      <c r="E27" s="377">
        <f t="shared" si="2"/>
        <v>20.545</v>
      </c>
      <c r="F27" s="375">
        <v>38.0</v>
      </c>
      <c r="G27" s="40"/>
      <c r="H27" s="40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>
      <c r="A31" s="5"/>
      <c r="B31" s="5"/>
      <c r="C31" s="5"/>
      <c r="D31" s="5"/>
      <c r="E31" s="5"/>
      <c r="F31" s="5"/>
      <c r="G31" s="5"/>
      <c r="H31" s="5"/>
    </row>
    <row r="32" ht="15.75" customHeight="1">
      <c r="A32" s="5"/>
      <c r="B32" s="5"/>
      <c r="C32" s="5"/>
      <c r="D32" s="5"/>
      <c r="E32" s="5"/>
      <c r="F32" s="5"/>
      <c r="G32" s="5"/>
      <c r="H32" s="5"/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:B3"/>
  </mergeCells>
  <conditionalFormatting sqref="E7:E27">
    <cfRule type="cellIs" dxfId="0" priority="1" operator="equal">
      <formula>"..."</formula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20.38"/>
    <col customWidth="1" min="3" max="3" width="14.38"/>
    <col customWidth="1" min="4" max="4" width="14.63"/>
    <col customWidth="1" min="5" max="5" width="15.75"/>
    <col customWidth="1" min="6" max="6" width="8.88"/>
  </cols>
  <sheetData>
    <row r="1">
      <c r="A1" s="31" t="s">
        <v>955</v>
      </c>
      <c r="B1" s="31" t="s">
        <v>956</v>
      </c>
      <c r="C1" s="31" t="s">
        <v>957</v>
      </c>
      <c r="D1" s="371" t="s">
        <v>958</v>
      </c>
      <c r="E1" s="31" t="s">
        <v>960</v>
      </c>
    </row>
    <row r="2">
      <c r="A2" s="64" t="s">
        <v>961</v>
      </c>
      <c r="B2" s="64">
        <v>0.7</v>
      </c>
      <c r="C2" s="372">
        <v>62.2</v>
      </c>
      <c r="D2" s="374">
        <f t="shared" ref="D2:D4" si="1">C2/B2</f>
        <v>88.85714286</v>
      </c>
      <c r="E2" s="374">
        <f t="shared" ref="E2:E25" si="2">D2*0.05</f>
        <v>4.442857143</v>
      </c>
    </row>
    <row r="3">
      <c r="A3" s="64" t="s">
        <v>909</v>
      </c>
      <c r="B3" s="64">
        <v>0.75</v>
      </c>
      <c r="C3" s="372">
        <v>164.0</v>
      </c>
      <c r="D3" s="374">
        <f t="shared" si="1"/>
        <v>218.6666667</v>
      </c>
      <c r="E3" s="374">
        <f t="shared" si="2"/>
        <v>10.93333333</v>
      </c>
    </row>
    <row r="4">
      <c r="A4" s="64" t="s">
        <v>970</v>
      </c>
      <c r="B4" s="64">
        <v>0.75</v>
      </c>
      <c r="C4" s="372">
        <v>189.6</v>
      </c>
      <c r="D4" s="374">
        <f t="shared" si="1"/>
        <v>252.8</v>
      </c>
      <c r="E4" s="374">
        <f t="shared" si="2"/>
        <v>12.64</v>
      </c>
    </row>
    <row r="5">
      <c r="A5" s="64" t="s">
        <v>971</v>
      </c>
      <c r="B5" s="64">
        <v>1.0</v>
      </c>
      <c r="C5" s="372">
        <v>73.74</v>
      </c>
      <c r="D5" s="374">
        <f>C5</f>
        <v>73.74</v>
      </c>
      <c r="E5" s="374">
        <f t="shared" si="2"/>
        <v>3.687</v>
      </c>
    </row>
    <row r="6">
      <c r="A6" s="64" t="s">
        <v>973</v>
      </c>
      <c r="B6" s="64">
        <v>0.75</v>
      </c>
      <c r="C6" s="372">
        <v>163.0</v>
      </c>
      <c r="D6" s="374">
        <f t="shared" ref="D6:D25" si="3">C6/B6</f>
        <v>217.3333333</v>
      </c>
      <c r="E6" s="374">
        <f t="shared" si="2"/>
        <v>10.86666667</v>
      </c>
    </row>
    <row r="7">
      <c r="A7" s="64" t="s">
        <v>196</v>
      </c>
      <c r="B7" s="64">
        <v>0.7</v>
      </c>
      <c r="C7" s="372">
        <v>119.42</v>
      </c>
      <c r="D7" s="374">
        <f t="shared" si="3"/>
        <v>170.6</v>
      </c>
      <c r="E7" s="374">
        <f t="shared" si="2"/>
        <v>8.53</v>
      </c>
    </row>
    <row r="8">
      <c r="A8" s="64" t="s">
        <v>794</v>
      </c>
      <c r="B8" s="64">
        <v>0.9</v>
      </c>
      <c r="C8" s="372">
        <v>17.0</v>
      </c>
      <c r="D8" s="374">
        <f t="shared" si="3"/>
        <v>18.88888889</v>
      </c>
      <c r="E8" s="374">
        <f t="shared" si="2"/>
        <v>0.9444444444</v>
      </c>
    </row>
    <row r="9">
      <c r="A9" s="64" t="s">
        <v>978</v>
      </c>
      <c r="B9" s="64">
        <v>1.0</v>
      </c>
      <c r="C9" s="372">
        <v>48.27</v>
      </c>
      <c r="D9" s="374">
        <f t="shared" si="3"/>
        <v>48.27</v>
      </c>
      <c r="E9" s="374">
        <f t="shared" si="2"/>
        <v>2.4135</v>
      </c>
    </row>
    <row r="10">
      <c r="A10" s="64" t="s">
        <v>980</v>
      </c>
      <c r="B10" s="64">
        <v>0.75</v>
      </c>
      <c r="C10" s="372">
        <v>84.9</v>
      </c>
      <c r="D10" s="374">
        <f t="shared" si="3"/>
        <v>113.2</v>
      </c>
      <c r="E10" s="374">
        <f t="shared" si="2"/>
        <v>5.66</v>
      </c>
    </row>
    <row r="11">
      <c r="A11" s="64" t="s">
        <v>983</v>
      </c>
      <c r="B11" s="64">
        <v>0.75</v>
      </c>
      <c r="C11" s="372">
        <v>259.9</v>
      </c>
      <c r="D11" s="374">
        <f t="shared" si="3"/>
        <v>346.5333333</v>
      </c>
      <c r="E11" s="374">
        <f t="shared" si="2"/>
        <v>17.32666667</v>
      </c>
    </row>
    <row r="12">
      <c r="A12" s="64" t="s">
        <v>985</v>
      </c>
      <c r="B12" s="64">
        <v>1.0</v>
      </c>
      <c r="C12" s="372">
        <v>132.9</v>
      </c>
      <c r="D12" s="374">
        <f t="shared" si="3"/>
        <v>132.9</v>
      </c>
      <c r="E12" s="374">
        <f t="shared" si="2"/>
        <v>6.645</v>
      </c>
    </row>
    <row r="13">
      <c r="A13" s="64" t="s">
        <v>987</v>
      </c>
      <c r="B13" s="64">
        <v>1.0</v>
      </c>
      <c r="C13" s="372">
        <v>112.9</v>
      </c>
      <c r="D13" s="374">
        <f t="shared" si="3"/>
        <v>112.9</v>
      </c>
      <c r="E13" s="374">
        <f t="shared" si="2"/>
        <v>5.645</v>
      </c>
    </row>
    <row r="14">
      <c r="A14" s="64" t="s">
        <v>990</v>
      </c>
      <c r="B14" s="64">
        <v>0.7</v>
      </c>
      <c r="C14" s="372">
        <v>123.0</v>
      </c>
      <c r="D14" s="374">
        <f t="shared" si="3"/>
        <v>175.7142857</v>
      </c>
      <c r="E14" s="374">
        <f t="shared" si="2"/>
        <v>8.785714286</v>
      </c>
    </row>
    <row r="15">
      <c r="A15" s="64" t="s">
        <v>991</v>
      </c>
      <c r="B15" s="64">
        <v>0.5</v>
      </c>
      <c r="C15" s="372">
        <v>88.0</v>
      </c>
      <c r="D15" s="374">
        <f t="shared" si="3"/>
        <v>176</v>
      </c>
      <c r="E15" s="374">
        <f t="shared" si="2"/>
        <v>8.8</v>
      </c>
    </row>
    <row r="16">
      <c r="A16" s="64" t="s">
        <v>993</v>
      </c>
      <c r="B16" s="64">
        <v>0.75</v>
      </c>
      <c r="C16" s="372">
        <v>45.32</v>
      </c>
      <c r="D16" s="374">
        <f t="shared" si="3"/>
        <v>60.42666667</v>
      </c>
      <c r="E16" s="374">
        <f t="shared" si="2"/>
        <v>3.021333333</v>
      </c>
    </row>
    <row r="17">
      <c r="A17" s="64" t="s">
        <v>994</v>
      </c>
      <c r="B17" s="64">
        <v>0.75</v>
      </c>
      <c r="C17" s="372">
        <v>128.9</v>
      </c>
      <c r="D17" s="374">
        <f t="shared" si="3"/>
        <v>171.8666667</v>
      </c>
      <c r="E17" s="374">
        <f t="shared" si="2"/>
        <v>8.593333333</v>
      </c>
    </row>
    <row r="18">
      <c r="A18" s="64" t="s">
        <v>996</v>
      </c>
      <c r="B18" s="64">
        <v>0.72</v>
      </c>
      <c r="C18" s="372">
        <v>57.0</v>
      </c>
      <c r="D18" s="374">
        <f t="shared" si="3"/>
        <v>79.16666667</v>
      </c>
      <c r="E18" s="374">
        <f t="shared" si="2"/>
        <v>3.958333333</v>
      </c>
    </row>
    <row r="19">
      <c r="A19" s="64" t="s">
        <v>997</v>
      </c>
      <c r="B19" s="64">
        <v>0.75</v>
      </c>
      <c r="C19" s="372">
        <v>88.79</v>
      </c>
      <c r="D19" s="374">
        <f t="shared" si="3"/>
        <v>118.3866667</v>
      </c>
      <c r="E19" s="374">
        <f t="shared" si="2"/>
        <v>5.919333333</v>
      </c>
    </row>
    <row r="20">
      <c r="A20" s="64" t="s">
        <v>1000</v>
      </c>
      <c r="B20" s="64">
        <v>0.75</v>
      </c>
      <c r="C20" s="372">
        <v>22.0</v>
      </c>
      <c r="D20" s="374">
        <f t="shared" si="3"/>
        <v>29.33333333</v>
      </c>
      <c r="E20" s="374">
        <f t="shared" si="2"/>
        <v>1.466666667</v>
      </c>
    </row>
    <row r="21" ht="15.75" customHeight="1">
      <c r="A21" s="64" t="s">
        <v>1003</v>
      </c>
      <c r="B21" s="64">
        <v>0.75</v>
      </c>
      <c r="C21" s="372">
        <v>34.01</v>
      </c>
      <c r="D21" s="374">
        <f t="shared" si="3"/>
        <v>45.34666667</v>
      </c>
      <c r="E21" s="374">
        <f t="shared" si="2"/>
        <v>2.267333333</v>
      </c>
    </row>
    <row r="22" ht="15.75" customHeight="1">
      <c r="A22" s="64" t="s">
        <v>1005</v>
      </c>
      <c r="B22" s="64">
        <v>1.0</v>
      </c>
      <c r="C22" s="372">
        <v>30.0</v>
      </c>
      <c r="D22" s="374">
        <f t="shared" si="3"/>
        <v>30</v>
      </c>
      <c r="E22" s="374">
        <f t="shared" si="2"/>
        <v>1.5</v>
      </c>
    </row>
    <row r="23" ht="15.75" customHeight="1">
      <c r="A23" s="64" t="s">
        <v>1007</v>
      </c>
      <c r="B23" s="64">
        <v>0.75</v>
      </c>
      <c r="C23" s="372">
        <v>97.9</v>
      </c>
      <c r="D23" s="374">
        <f t="shared" si="3"/>
        <v>130.5333333</v>
      </c>
      <c r="E23" s="374">
        <f t="shared" si="2"/>
        <v>6.526666667</v>
      </c>
    </row>
    <row r="24" ht="15.75" customHeight="1">
      <c r="A24" s="64" t="s">
        <v>1010</v>
      </c>
      <c r="B24" s="64">
        <v>0.75</v>
      </c>
      <c r="C24" s="372">
        <v>177.4</v>
      </c>
      <c r="D24" s="374">
        <f t="shared" si="3"/>
        <v>236.5333333</v>
      </c>
      <c r="E24" s="374">
        <f t="shared" si="2"/>
        <v>11.82666667</v>
      </c>
    </row>
    <row r="25" ht="15.75" customHeight="1">
      <c r="A25" s="64" t="s">
        <v>1013</v>
      </c>
      <c r="B25" s="64">
        <v>1.0</v>
      </c>
      <c r="C25" s="372">
        <v>64.0</v>
      </c>
      <c r="D25" s="374">
        <f t="shared" si="3"/>
        <v>64</v>
      </c>
      <c r="E25" s="374">
        <f t="shared" si="2"/>
        <v>3.2</v>
      </c>
    </row>
    <row r="26" ht="15.75" customHeight="1">
      <c r="A26" s="5"/>
      <c r="B26" s="5"/>
      <c r="C26" s="5"/>
      <c r="D26" s="388"/>
      <c r="E26" s="388"/>
    </row>
    <row r="27" ht="15.75" customHeight="1">
      <c r="A27" s="5"/>
      <c r="B27" s="5"/>
      <c r="C27" s="5"/>
      <c r="D27" s="388"/>
      <c r="E27" s="388"/>
    </row>
    <row r="28" ht="15.75" customHeight="1">
      <c r="A28" s="5"/>
      <c r="B28" s="5"/>
      <c r="C28" s="5"/>
      <c r="D28" s="388"/>
      <c r="E28" s="388"/>
    </row>
    <row r="29" ht="15.75" customHeight="1">
      <c r="A29" s="5"/>
      <c r="B29" s="5"/>
      <c r="C29" s="5"/>
      <c r="D29" s="388"/>
      <c r="E29" s="388"/>
    </row>
    <row r="30" ht="15.75" customHeight="1">
      <c r="A30" s="5"/>
      <c r="B30" s="5"/>
      <c r="C30" s="5"/>
      <c r="D30" s="388"/>
      <c r="E30" s="388"/>
    </row>
    <row r="31" ht="15.75" customHeight="1">
      <c r="A31" s="5"/>
      <c r="B31" s="5"/>
      <c r="C31" s="5"/>
      <c r="D31" s="388"/>
      <c r="E31" s="388"/>
    </row>
    <row r="32" ht="15.75" customHeight="1">
      <c r="A32" s="5"/>
      <c r="B32" s="5"/>
      <c r="C32" s="5"/>
      <c r="D32" s="388"/>
      <c r="E32" s="388"/>
    </row>
    <row r="33" ht="15.75" customHeight="1">
      <c r="A33" s="5"/>
      <c r="B33" s="5"/>
      <c r="C33" s="5"/>
      <c r="D33" s="388"/>
      <c r="E33" s="388"/>
    </row>
    <row r="34" ht="15.75" customHeight="1">
      <c r="A34" s="5"/>
      <c r="B34" s="5"/>
      <c r="C34" s="5"/>
      <c r="D34" s="388"/>
      <c r="E34" s="388"/>
    </row>
    <row r="35" ht="15.75" customHeight="1">
      <c r="A35" s="5"/>
      <c r="B35" s="5"/>
      <c r="C35" s="5"/>
      <c r="D35" s="388"/>
      <c r="E35" s="388"/>
    </row>
    <row r="36" ht="15.75" customHeight="1">
      <c r="A36" s="5"/>
      <c r="B36" s="5"/>
      <c r="C36" s="5"/>
      <c r="D36" s="388"/>
      <c r="E36" s="388"/>
    </row>
    <row r="37" ht="15.75" customHeight="1">
      <c r="A37" s="5"/>
      <c r="B37" s="5"/>
      <c r="C37" s="5"/>
      <c r="D37" s="388"/>
      <c r="E37" s="388"/>
    </row>
    <row r="38" ht="15.75" customHeight="1">
      <c r="A38" s="5"/>
      <c r="B38" s="5"/>
      <c r="C38" s="5"/>
      <c r="D38" s="388"/>
      <c r="E38" s="388"/>
    </row>
    <row r="39" ht="15.75" customHeight="1">
      <c r="A39" s="5"/>
      <c r="B39" s="5"/>
      <c r="C39" s="5"/>
      <c r="D39" s="388"/>
      <c r="E39" s="388"/>
    </row>
    <row r="40" ht="15.75" customHeight="1">
      <c r="A40" s="5"/>
      <c r="B40" s="5"/>
      <c r="C40" s="5"/>
      <c r="D40" s="388"/>
      <c r="E40" s="388"/>
    </row>
    <row r="41" ht="15.75" customHeight="1">
      <c r="A41" s="5"/>
      <c r="B41" s="5"/>
      <c r="C41" s="5"/>
      <c r="D41" s="388"/>
      <c r="E41" s="388"/>
    </row>
    <row r="42" ht="15.75" customHeight="1">
      <c r="A42" s="5"/>
      <c r="B42" s="5"/>
      <c r="C42" s="5"/>
      <c r="D42" s="388"/>
      <c r="E42" s="388"/>
    </row>
    <row r="43" ht="15.75" customHeight="1">
      <c r="A43" s="5"/>
      <c r="B43" s="5"/>
      <c r="C43" s="5"/>
      <c r="D43" s="388"/>
      <c r="E43" s="388"/>
    </row>
    <row r="44" ht="15.75" customHeight="1">
      <c r="A44" s="5"/>
      <c r="B44" s="5"/>
      <c r="C44" s="5"/>
      <c r="D44" s="388"/>
      <c r="E44" s="388"/>
    </row>
    <row r="45" ht="15.75" customHeight="1">
      <c r="A45" s="5"/>
      <c r="B45" s="5"/>
      <c r="C45" s="5"/>
      <c r="D45" s="388"/>
      <c r="E45" s="388"/>
    </row>
    <row r="46" ht="15.75" customHeight="1">
      <c r="A46" s="5"/>
      <c r="B46" s="5"/>
      <c r="C46" s="5"/>
      <c r="D46" s="388"/>
      <c r="E46" s="388"/>
    </row>
    <row r="47" ht="15.75" customHeight="1">
      <c r="A47" s="5"/>
      <c r="B47" s="5"/>
      <c r="C47" s="5"/>
      <c r="D47" s="388"/>
      <c r="E47" s="388"/>
    </row>
    <row r="48" ht="15.75" customHeight="1">
      <c r="A48" s="5"/>
      <c r="B48" s="5"/>
      <c r="C48" s="5"/>
      <c r="D48" s="388"/>
      <c r="E48" s="388"/>
    </row>
    <row r="49" ht="15.75" customHeight="1">
      <c r="A49" s="5"/>
      <c r="B49" s="5"/>
      <c r="C49" s="5"/>
      <c r="D49" s="388"/>
      <c r="E49" s="388"/>
    </row>
    <row r="50" ht="15.75" customHeight="1">
      <c r="A50" s="5"/>
      <c r="B50" s="5"/>
      <c r="C50" s="5"/>
      <c r="D50" s="388"/>
      <c r="E50" s="388"/>
    </row>
    <row r="51" ht="15.75" customHeight="1">
      <c r="A51" s="5"/>
      <c r="B51" s="5"/>
      <c r="C51" s="5"/>
      <c r="D51" s="388"/>
      <c r="E51" s="388"/>
    </row>
    <row r="52" ht="15.75" customHeight="1">
      <c r="A52" s="5"/>
      <c r="B52" s="5"/>
      <c r="C52" s="5"/>
      <c r="D52" s="388"/>
      <c r="E52" s="388"/>
    </row>
    <row r="53" ht="15.75" customHeight="1">
      <c r="A53" s="5"/>
      <c r="B53" s="5"/>
      <c r="C53" s="5"/>
      <c r="D53" s="388"/>
      <c r="E53" s="388"/>
    </row>
    <row r="54" ht="15.75" customHeight="1">
      <c r="A54" s="5"/>
      <c r="B54" s="5"/>
      <c r="C54" s="5"/>
      <c r="D54" s="388"/>
      <c r="E54" s="388"/>
    </row>
    <row r="55" ht="15.75" customHeight="1">
      <c r="A55" s="5"/>
      <c r="B55" s="5"/>
      <c r="C55" s="5"/>
      <c r="D55" s="388"/>
      <c r="E55" s="388"/>
    </row>
    <row r="56" ht="15.75" customHeight="1">
      <c r="A56" s="5"/>
      <c r="B56" s="5"/>
      <c r="C56" s="5"/>
      <c r="D56" s="388"/>
      <c r="E56" s="388"/>
    </row>
    <row r="57" ht="15.75" customHeight="1">
      <c r="A57" s="5"/>
      <c r="B57" s="5"/>
      <c r="C57" s="5"/>
      <c r="D57" s="388"/>
      <c r="E57" s="388"/>
    </row>
    <row r="58" ht="15.75" customHeight="1">
      <c r="A58" s="5"/>
      <c r="B58" s="5"/>
      <c r="C58" s="5"/>
      <c r="D58" s="388"/>
      <c r="E58" s="388"/>
    </row>
    <row r="59" ht="15.75" customHeight="1">
      <c r="A59" s="5"/>
      <c r="B59" s="5"/>
      <c r="C59" s="5"/>
      <c r="D59" s="388"/>
      <c r="E59" s="388"/>
    </row>
    <row r="60" ht="15.75" customHeight="1">
      <c r="A60" s="5"/>
      <c r="B60" s="5"/>
      <c r="C60" s="5"/>
      <c r="D60" s="388"/>
      <c r="E60" s="388"/>
    </row>
    <row r="61" ht="15.75" customHeight="1">
      <c r="A61" s="5"/>
      <c r="B61" s="5"/>
      <c r="C61" s="5"/>
      <c r="D61" s="388"/>
      <c r="E61" s="388"/>
    </row>
    <row r="62" ht="15.75" customHeight="1">
      <c r="A62" s="5"/>
      <c r="B62" s="5"/>
      <c r="C62" s="5"/>
      <c r="D62" s="388"/>
      <c r="E62" s="388"/>
    </row>
    <row r="63" ht="15.75" customHeight="1">
      <c r="A63" s="5"/>
      <c r="B63" s="5"/>
      <c r="C63" s="5"/>
      <c r="D63" s="388"/>
      <c r="E63" s="388"/>
    </row>
    <row r="64" ht="15.75" customHeight="1">
      <c r="A64" s="5"/>
      <c r="B64" s="5"/>
      <c r="C64" s="5"/>
      <c r="D64" s="388"/>
      <c r="E64" s="388"/>
    </row>
    <row r="65" ht="15.75" customHeight="1">
      <c r="A65" s="5"/>
      <c r="B65" s="5"/>
      <c r="C65" s="5"/>
      <c r="D65" s="388"/>
      <c r="E65" s="388"/>
    </row>
    <row r="66" ht="15.75" customHeight="1">
      <c r="A66" s="5"/>
      <c r="B66" s="5"/>
      <c r="C66" s="5"/>
      <c r="D66" s="388"/>
      <c r="E66" s="388"/>
    </row>
    <row r="67" ht="15.75" customHeight="1">
      <c r="A67" s="5"/>
      <c r="B67" s="5"/>
      <c r="C67" s="5"/>
      <c r="D67" s="388"/>
      <c r="E67" s="388"/>
    </row>
    <row r="68" ht="15.75" customHeight="1">
      <c r="A68" s="5"/>
      <c r="B68" s="5"/>
      <c r="C68" s="5"/>
      <c r="D68" s="388"/>
      <c r="E68" s="388"/>
    </row>
    <row r="69" ht="15.75" customHeight="1">
      <c r="A69" s="5"/>
      <c r="B69" s="5"/>
      <c r="C69" s="5"/>
      <c r="D69" s="388"/>
      <c r="E69" s="388"/>
    </row>
    <row r="70" ht="15.75" customHeight="1">
      <c r="A70" s="5"/>
      <c r="B70" s="5"/>
      <c r="C70" s="5"/>
      <c r="D70" s="388"/>
      <c r="E70" s="388"/>
    </row>
    <row r="71" ht="15.75" customHeight="1">
      <c r="A71" s="5"/>
      <c r="B71" s="5"/>
      <c r="C71" s="5"/>
      <c r="D71" s="388"/>
      <c r="E71" s="388"/>
    </row>
    <row r="72" ht="15.75" customHeight="1">
      <c r="A72" s="5"/>
      <c r="B72" s="5"/>
      <c r="C72" s="5"/>
      <c r="D72" s="388"/>
      <c r="E72" s="388"/>
    </row>
    <row r="73" ht="15.75" customHeight="1">
      <c r="A73" s="5"/>
      <c r="B73" s="5"/>
      <c r="C73" s="5"/>
      <c r="D73" s="388"/>
      <c r="E73" s="388"/>
    </row>
    <row r="74" ht="15.75" customHeight="1">
      <c r="A74" s="5"/>
      <c r="B74" s="5"/>
      <c r="C74" s="5"/>
      <c r="D74" s="388"/>
      <c r="E74" s="388"/>
    </row>
    <row r="75" ht="15.75" customHeight="1">
      <c r="A75" s="5"/>
      <c r="B75" s="5"/>
      <c r="C75" s="5"/>
      <c r="D75" s="388"/>
      <c r="E75" s="388"/>
    </row>
    <row r="76" ht="15.75" customHeight="1">
      <c r="A76" s="5"/>
      <c r="B76" s="5"/>
      <c r="C76" s="5"/>
      <c r="D76" s="388"/>
      <c r="E76" s="388"/>
    </row>
    <row r="77" ht="15.75" customHeight="1">
      <c r="A77" s="5"/>
      <c r="B77" s="5"/>
      <c r="C77" s="5"/>
      <c r="D77" s="388"/>
      <c r="E77" s="388"/>
    </row>
    <row r="78" ht="15.75" customHeight="1">
      <c r="A78" s="5"/>
      <c r="B78" s="5"/>
      <c r="C78" s="5"/>
      <c r="D78" s="388"/>
      <c r="E78" s="388"/>
    </row>
    <row r="79" ht="15.75" customHeight="1">
      <c r="A79" s="5"/>
      <c r="B79" s="5"/>
      <c r="C79" s="5"/>
      <c r="D79" s="388"/>
      <c r="E79" s="388"/>
    </row>
    <row r="80" ht="15.75" customHeight="1">
      <c r="A80" s="5"/>
      <c r="B80" s="5"/>
      <c r="C80" s="5"/>
      <c r="D80" s="388"/>
      <c r="E80" s="388"/>
    </row>
    <row r="81" ht="15.75" customHeight="1">
      <c r="A81" s="5"/>
      <c r="B81" s="5"/>
      <c r="C81" s="5"/>
      <c r="D81" s="388"/>
      <c r="E81" s="388"/>
    </row>
    <row r="82" ht="15.75" customHeight="1">
      <c r="A82" s="5"/>
      <c r="B82" s="5"/>
      <c r="C82" s="5"/>
      <c r="D82" s="388"/>
      <c r="E82" s="388"/>
    </row>
    <row r="83" ht="15.75" customHeight="1">
      <c r="A83" s="5"/>
      <c r="B83" s="5"/>
      <c r="C83" s="5"/>
      <c r="D83" s="388"/>
      <c r="E83" s="388"/>
    </row>
    <row r="84" ht="15.75" customHeight="1">
      <c r="A84" s="5"/>
      <c r="B84" s="5"/>
      <c r="C84" s="5"/>
      <c r="D84" s="388"/>
      <c r="E84" s="388"/>
    </row>
    <row r="85" ht="15.75" customHeight="1">
      <c r="A85" s="5"/>
      <c r="B85" s="5"/>
      <c r="C85" s="5"/>
      <c r="D85" s="388"/>
      <c r="E85" s="388"/>
    </row>
    <row r="86" ht="15.75" customHeight="1">
      <c r="A86" s="5"/>
      <c r="B86" s="5"/>
      <c r="C86" s="5"/>
      <c r="D86" s="388"/>
      <c r="E86" s="388"/>
    </row>
    <row r="87" ht="15.75" customHeight="1">
      <c r="A87" s="5"/>
      <c r="B87" s="5"/>
      <c r="C87" s="5"/>
      <c r="D87" s="388"/>
      <c r="E87" s="388"/>
    </row>
    <row r="88" ht="15.75" customHeight="1">
      <c r="A88" s="5"/>
      <c r="B88" s="5"/>
      <c r="C88" s="5"/>
      <c r="D88" s="388"/>
      <c r="E88" s="388"/>
    </row>
    <row r="89" ht="15.75" customHeight="1">
      <c r="A89" s="5"/>
      <c r="B89" s="5"/>
      <c r="C89" s="5"/>
      <c r="D89" s="388"/>
      <c r="E89" s="388"/>
    </row>
    <row r="90" ht="15.75" customHeight="1">
      <c r="A90" s="5"/>
      <c r="B90" s="5"/>
      <c r="C90" s="5"/>
      <c r="D90" s="388"/>
      <c r="E90" s="388"/>
    </row>
    <row r="91" ht="15.75" customHeight="1">
      <c r="A91" s="5"/>
      <c r="B91" s="5"/>
      <c r="C91" s="5"/>
      <c r="D91" s="388"/>
      <c r="E91" s="388"/>
    </row>
    <row r="92" ht="15.75" customHeight="1">
      <c r="A92" s="5"/>
      <c r="B92" s="5"/>
      <c r="C92" s="5"/>
      <c r="D92" s="388"/>
      <c r="E92" s="388"/>
    </row>
    <row r="93" ht="15.75" customHeight="1">
      <c r="A93" s="5"/>
      <c r="B93" s="5"/>
      <c r="C93" s="5"/>
      <c r="D93" s="388"/>
      <c r="E93" s="388"/>
    </row>
    <row r="94" ht="15.75" customHeight="1">
      <c r="A94" s="5"/>
      <c r="B94" s="5"/>
      <c r="C94" s="5"/>
      <c r="D94" s="388"/>
      <c r="E94" s="388"/>
    </row>
    <row r="95" ht="15.75" customHeight="1">
      <c r="A95" s="5"/>
      <c r="B95" s="5"/>
      <c r="C95" s="5"/>
      <c r="D95" s="388"/>
      <c r="E95" s="388"/>
    </row>
    <row r="96" ht="15.75" customHeight="1">
      <c r="A96" s="5"/>
      <c r="B96" s="5"/>
      <c r="C96" s="5"/>
      <c r="D96" s="388"/>
      <c r="E96" s="388"/>
    </row>
    <row r="97" ht="15.75" customHeight="1">
      <c r="A97" s="5"/>
      <c r="B97" s="5"/>
      <c r="C97" s="5"/>
      <c r="D97" s="388"/>
      <c r="E97" s="388"/>
    </row>
    <row r="98" ht="15.75" customHeight="1">
      <c r="A98" s="5"/>
      <c r="B98" s="5"/>
      <c r="C98" s="5"/>
      <c r="D98" s="388"/>
      <c r="E98" s="388"/>
    </row>
    <row r="99" ht="15.75" customHeight="1">
      <c r="A99" s="5"/>
      <c r="B99" s="5"/>
      <c r="C99" s="5"/>
      <c r="D99" s="388"/>
      <c r="E99" s="388"/>
    </row>
    <row r="100" ht="15.75" customHeight="1">
      <c r="A100" s="5"/>
      <c r="B100" s="5"/>
      <c r="C100" s="5"/>
      <c r="D100" s="388"/>
      <c r="E100" s="388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2.63" defaultRowHeight="15.0"/>
  <cols>
    <col customWidth="1" min="1" max="1" width="56.25"/>
    <col customWidth="1" min="2" max="2" width="25.88"/>
    <col customWidth="1" min="3" max="3" width="10.75"/>
    <col customWidth="1" min="4" max="4" width="16.25"/>
    <col customWidth="1" min="5" max="5" width="12.13"/>
    <col customWidth="1" min="6" max="11" width="8.88"/>
  </cols>
  <sheetData>
    <row r="1" ht="6.75" customHeight="1">
      <c r="A1" s="1"/>
      <c r="B1" s="2"/>
      <c r="C1" s="3"/>
      <c r="D1" s="378"/>
      <c r="E1" s="1"/>
      <c r="F1" s="4"/>
      <c r="G1" s="4"/>
      <c r="H1" s="4"/>
      <c r="I1" s="4"/>
      <c r="J1" s="4"/>
      <c r="K1" s="4"/>
    </row>
    <row r="2" ht="6.0" customHeight="1">
      <c r="A2" s="6"/>
      <c r="B2" s="7"/>
      <c r="C2" s="6"/>
      <c r="D2" s="379"/>
      <c r="E2" s="6"/>
      <c r="F2" s="4"/>
      <c r="G2" s="4"/>
      <c r="H2" s="4"/>
      <c r="I2" s="4"/>
      <c r="J2" s="4"/>
      <c r="K2" s="4"/>
    </row>
    <row r="3" ht="57.0" customHeight="1">
      <c r="A3" s="8" t="s">
        <v>981</v>
      </c>
      <c r="D3" s="380"/>
      <c r="E3" s="13" t="s">
        <v>2</v>
      </c>
      <c r="F3" s="4"/>
      <c r="G3" s="4"/>
      <c r="H3" s="4"/>
      <c r="I3" s="4"/>
      <c r="J3" s="4"/>
      <c r="K3" s="4"/>
    </row>
    <row r="4">
      <c r="A4" s="381" t="s">
        <v>4</v>
      </c>
      <c r="B4" s="382">
        <v>45834.0</v>
      </c>
      <c r="C4" s="381"/>
      <c r="D4" s="383"/>
    </row>
    <row r="5" ht="4.5" customHeight="1">
      <c r="A5" s="381"/>
      <c r="B5" s="382"/>
      <c r="C5" s="381"/>
      <c r="D5" s="383"/>
    </row>
    <row r="6" ht="3.0" customHeight="1">
      <c r="A6" s="8"/>
      <c r="B6" s="8"/>
      <c r="C6" s="8"/>
      <c r="D6" s="384"/>
      <c r="E6" s="13"/>
      <c r="F6" s="4"/>
      <c r="G6" s="4"/>
      <c r="H6" s="4"/>
      <c r="I6" s="4"/>
      <c r="J6" s="4"/>
      <c r="K6" s="4"/>
    </row>
    <row r="7" ht="27.0" customHeight="1">
      <c r="A7" s="385" t="s">
        <v>1001</v>
      </c>
      <c r="B7" s="38"/>
      <c r="C7" s="38"/>
      <c r="D7" s="386" t="s">
        <v>1004</v>
      </c>
      <c r="E7" s="387"/>
      <c r="F7" s="4"/>
      <c r="G7" s="4"/>
      <c r="H7" s="4"/>
      <c r="I7" s="4"/>
      <c r="J7" s="4"/>
      <c r="K7" s="4"/>
    </row>
    <row r="8" ht="18.0" customHeight="1">
      <c r="A8" s="131" t="s">
        <v>12</v>
      </c>
      <c r="B8" s="31" t="s">
        <v>16</v>
      </c>
      <c r="C8" s="31" t="s">
        <v>20</v>
      </c>
      <c r="D8" s="371" t="s">
        <v>1009</v>
      </c>
      <c r="E8" s="33" t="s">
        <v>1011</v>
      </c>
    </row>
    <row r="9" ht="18.0" customHeight="1">
      <c r="A9" s="63" t="s">
        <v>1000</v>
      </c>
      <c r="B9" s="64">
        <v>40.0</v>
      </c>
      <c r="C9" s="53" t="s">
        <v>25</v>
      </c>
      <c r="D9" s="374">
        <v>29.35</v>
      </c>
      <c r="E9" s="389">
        <f t="shared" ref="E9:E10" si="1">D9/1000*B9</f>
        <v>1.174</v>
      </c>
    </row>
    <row r="10" ht="18.0" customHeight="1">
      <c r="A10" s="63" t="s">
        <v>1014</v>
      </c>
      <c r="B10" s="64">
        <v>50.0</v>
      </c>
      <c r="C10" s="53" t="s">
        <v>25</v>
      </c>
      <c r="D10" s="374">
        <v>112.9</v>
      </c>
      <c r="E10" s="389">
        <f t="shared" si="1"/>
        <v>5.645</v>
      </c>
    </row>
    <row r="11" ht="18.0" customHeight="1">
      <c r="A11" s="63" t="s">
        <v>1015</v>
      </c>
      <c r="B11" s="64">
        <v>25.0</v>
      </c>
      <c r="C11" s="53" t="s">
        <v>25</v>
      </c>
      <c r="D11" s="374"/>
      <c r="E11" s="389"/>
    </row>
    <row r="12" ht="18.0" customHeight="1">
      <c r="A12" s="63" t="s">
        <v>731</v>
      </c>
      <c r="B12" s="64">
        <v>30.0</v>
      </c>
      <c r="C12" s="53" t="s">
        <v>25</v>
      </c>
      <c r="D12" s="374"/>
      <c r="E12" s="389"/>
    </row>
    <row r="13" ht="18.0" customHeight="1">
      <c r="A13" s="390" t="s">
        <v>1016</v>
      </c>
      <c r="B13" s="391"/>
      <c r="C13" s="391"/>
      <c r="D13" s="392"/>
      <c r="E13" s="393">
        <f>SUM(E9:E12)</f>
        <v>6.819</v>
      </c>
    </row>
    <row r="14" ht="18.0" customHeight="1">
      <c r="A14" s="79"/>
      <c r="B14" s="5"/>
      <c r="C14" s="5"/>
      <c r="D14" s="394"/>
      <c r="E14" s="395"/>
      <c r="F14" s="130"/>
      <c r="G14" s="130"/>
      <c r="H14" s="130"/>
      <c r="I14" s="130"/>
      <c r="J14" s="130"/>
      <c r="K14" s="130"/>
    </row>
    <row r="15" ht="18.0" customHeight="1">
      <c r="A15" s="396" t="s">
        <v>972</v>
      </c>
      <c r="B15" s="38"/>
      <c r="C15" s="38"/>
      <c r="D15" s="386" t="s">
        <v>1004</v>
      </c>
      <c r="E15" s="397"/>
      <c r="F15" s="130"/>
      <c r="G15" s="130"/>
      <c r="H15" s="130"/>
      <c r="I15" s="130"/>
      <c r="J15" s="130"/>
      <c r="K15" s="130"/>
    </row>
    <row r="16" ht="18.0" customHeight="1">
      <c r="A16" s="131" t="s">
        <v>12</v>
      </c>
      <c r="B16" s="31" t="s">
        <v>16</v>
      </c>
      <c r="C16" s="31" t="s">
        <v>20</v>
      </c>
      <c r="D16" s="371" t="s">
        <v>1009</v>
      </c>
      <c r="E16" s="33" t="s">
        <v>1011</v>
      </c>
    </row>
    <row r="17" ht="18.0" customHeight="1">
      <c r="A17" s="63" t="s">
        <v>1003</v>
      </c>
      <c r="B17" s="64">
        <v>140.0</v>
      </c>
      <c r="C17" s="53" t="s">
        <v>25</v>
      </c>
      <c r="D17" s="374">
        <v>45.346666666666664</v>
      </c>
      <c r="E17" s="389">
        <f t="shared" ref="E17:E20" si="2">D17/1000*B17</f>
        <v>6.348533333</v>
      </c>
    </row>
    <row r="18" ht="18.0" customHeight="1">
      <c r="A18" s="63" t="s">
        <v>1017</v>
      </c>
      <c r="B18" s="64">
        <v>50.0</v>
      </c>
      <c r="C18" s="53" t="s">
        <v>1018</v>
      </c>
      <c r="D18" s="374"/>
      <c r="E18" s="389">
        <f t="shared" si="2"/>
        <v>0</v>
      </c>
    </row>
    <row r="19" ht="18.0" customHeight="1">
      <c r="A19" s="63" t="s">
        <v>1019</v>
      </c>
      <c r="B19" s="64">
        <v>24.0</v>
      </c>
      <c r="C19" s="53" t="s">
        <v>25</v>
      </c>
      <c r="D19" s="374"/>
      <c r="E19" s="389">
        <f t="shared" si="2"/>
        <v>0</v>
      </c>
    </row>
    <row r="20" ht="18.0" customHeight="1">
      <c r="A20" s="63" t="s">
        <v>196</v>
      </c>
      <c r="B20" s="64">
        <v>7.0</v>
      </c>
      <c r="C20" s="53" t="s">
        <v>25</v>
      </c>
      <c r="D20" s="374">
        <v>170.60000000000002</v>
      </c>
      <c r="E20" s="389">
        <f t="shared" si="2"/>
        <v>1.1942</v>
      </c>
    </row>
    <row r="21" ht="18.0" customHeight="1">
      <c r="A21" s="132" t="s">
        <v>963</v>
      </c>
      <c r="B21" s="133"/>
      <c r="C21" s="134"/>
      <c r="D21" s="136"/>
      <c r="E21" s="136">
        <f>SUM(E17:E20)</f>
        <v>7.542733333</v>
      </c>
    </row>
    <row r="22" ht="18.0" customHeight="1">
      <c r="A22" s="79"/>
      <c r="B22" s="67"/>
      <c r="C22" s="67"/>
      <c r="D22" s="388"/>
      <c r="E22" s="388"/>
      <c r="F22" s="130"/>
      <c r="G22" s="130"/>
      <c r="H22" s="130"/>
      <c r="I22" s="130"/>
      <c r="J22" s="130"/>
      <c r="K22" s="130"/>
    </row>
    <row r="23" ht="18.0" customHeight="1">
      <c r="A23" s="396" t="s">
        <v>974</v>
      </c>
      <c r="B23" s="38"/>
      <c r="C23" s="38"/>
      <c r="D23" s="386" t="s">
        <v>1004</v>
      </c>
      <c r="E23" s="130"/>
      <c r="F23" s="130"/>
      <c r="G23" s="130"/>
      <c r="H23" s="130"/>
      <c r="I23" s="130"/>
      <c r="J23" s="130"/>
      <c r="K23" s="130"/>
    </row>
    <row r="24" ht="18.0" customHeight="1">
      <c r="A24" s="131" t="s">
        <v>12</v>
      </c>
      <c r="B24" s="31" t="s">
        <v>16</v>
      </c>
      <c r="C24" s="31" t="s">
        <v>20</v>
      </c>
      <c r="D24" s="371" t="s">
        <v>1009</v>
      </c>
      <c r="E24" s="33" t="s">
        <v>1011</v>
      </c>
    </row>
    <row r="25" ht="18.0" customHeight="1">
      <c r="A25" s="63" t="s">
        <v>1020</v>
      </c>
      <c r="B25" s="64">
        <v>40.0</v>
      </c>
      <c r="C25" s="53" t="s">
        <v>25</v>
      </c>
      <c r="D25" s="374">
        <v>130.53333333333333</v>
      </c>
      <c r="E25" s="389">
        <f t="shared" ref="E25:E27" si="3">D25/1000*B25</f>
        <v>5.221333333</v>
      </c>
    </row>
    <row r="26" ht="18.0" customHeight="1">
      <c r="A26" s="63" t="s">
        <v>1021</v>
      </c>
      <c r="B26" s="64">
        <v>15.0</v>
      </c>
      <c r="C26" s="53" t="s">
        <v>25</v>
      </c>
      <c r="D26" s="374">
        <v>175.71</v>
      </c>
      <c r="E26" s="389">
        <f t="shared" si="3"/>
        <v>2.63565</v>
      </c>
    </row>
    <row r="27" ht="18.0" customHeight="1">
      <c r="A27" s="63" t="s">
        <v>994</v>
      </c>
      <c r="B27" s="64">
        <v>15.0</v>
      </c>
      <c r="C27" s="53" t="s">
        <v>25</v>
      </c>
      <c r="D27" s="374">
        <v>171.86666666666667</v>
      </c>
      <c r="E27" s="389">
        <f t="shared" si="3"/>
        <v>2.578</v>
      </c>
    </row>
    <row r="28" ht="18.0" customHeight="1">
      <c r="A28" s="63" t="s">
        <v>1022</v>
      </c>
      <c r="B28" s="64">
        <v>15.0</v>
      </c>
      <c r="C28" s="53" t="s">
        <v>25</v>
      </c>
      <c r="D28" s="374"/>
      <c r="E28" s="389"/>
    </row>
    <row r="29" ht="18.0" customHeight="1">
      <c r="A29" s="63" t="s">
        <v>1023</v>
      </c>
      <c r="B29" s="64">
        <v>4.0</v>
      </c>
      <c r="C29" s="53" t="s">
        <v>25</v>
      </c>
      <c r="D29" s="374"/>
      <c r="E29" s="389"/>
    </row>
    <row r="30" ht="18.0" customHeight="1">
      <c r="A30" s="132" t="s">
        <v>963</v>
      </c>
      <c r="B30" s="133"/>
      <c r="C30" s="134"/>
      <c r="D30" s="136"/>
      <c r="E30" s="136">
        <f>SUM(E25:E29)</f>
        <v>10.43498333</v>
      </c>
    </row>
    <row r="31" ht="18.0" customHeight="1">
      <c r="A31" s="79"/>
      <c r="B31" s="67"/>
      <c r="C31" s="67"/>
      <c r="D31" s="388"/>
      <c r="E31" s="388"/>
      <c r="F31" s="130"/>
      <c r="G31" s="130"/>
      <c r="H31" s="130"/>
      <c r="I31" s="130"/>
      <c r="J31" s="130"/>
      <c r="K31" s="130"/>
    </row>
    <row r="32" ht="18.0" customHeight="1">
      <c r="A32" s="396" t="s">
        <v>1024</v>
      </c>
      <c r="B32" s="38"/>
      <c r="C32" s="38"/>
      <c r="D32" s="386" t="s">
        <v>1004</v>
      </c>
      <c r="E32" s="130"/>
      <c r="F32" s="130"/>
      <c r="G32" s="130"/>
      <c r="H32" s="130"/>
      <c r="I32" s="130"/>
      <c r="J32" s="130"/>
      <c r="K32" s="130"/>
    </row>
    <row r="33" ht="18.0" customHeight="1">
      <c r="A33" s="131" t="s">
        <v>12</v>
      </c>
      <c r="B33" s="31" t="s">
        <v>16</v>
      </c>
      <c r="C33" s="31" t="s">
        <v>20</v>
      </c>
      <c r="D33" s="371" t="s">
        <v>1009</v>
      </c>
      <c r="E33" s="33" t="s">
        <v>1011</v>
      </c>
    </row>
    <row r="34" ht="18.0" customHeight="1">
      <c r="A34" s="63" t="s">
        <v>1025</v>
      </c>
      <c r="B34" s="64">
        <v>50.0</v>
      </c>
      <c r="C34" s="53" t="s">
        <v>25</v>
      </c>
      <c r="D34" s="374">
        <v>132.9</v>
      </c>
      <c r="E34" s="389">
        <f t="shared" ref="E34:E35" si="4">D34/1000*B34</f>
        <v>6.645</v>
      </c>
    </row>
    <row r="35" ht="18.0" customHeight="1">
      <c r="A35" s="63" t="s">
        <v>1026</v>
      </c>
      <c r="B35" s="64">
        <v>20.0</v>
      </c>
      <c r="C35" s="53" t="s">
        <v>25</v>
      </c>
      <c r="D35" s="374">
        <v>88.6</v>
      </c>
      <c r="E35" s="389">
        <f t="shared" si="4"/>
        <v>1.772</v>
      </c>
    </row>
    <row r="36" ht="18.0" customHeight="1">
      <c r="A36" s="63" t="s">
        <v>1027</v>
      </c>
      <c r="B36" s="64"/>
      <c r="C36" s="53" t="s">
        <v>25</v>
      </c>
      <c r="D36" s="374"/>
      <c r="E36" s="389"/>
    </row>
    <row r="37" ht="18.0" customHeight="1">
      <c r="A37" s="63" t="s">
        <v>1028</v>
      </c>
      <c r="B37" s="64"/>
      <c r="C37" s="53"/>
      <c r="D37" s="374"/>
      <c r="E37" s="389"/>
    </row>
    <row r="38" ht="18.0" customHeight="1">
      <c r="A38" s="132" t="s">
        <v>963</v>
      </c>
      <c r="B38" s="133"/>
      <c r="C38" s="134"/>
      <c r="D38" s="136"/>
      <c r="E38" s="136">
        <f>SUM(E34:E37)</f>
        <v>8.417</v>
      </c>
    </row>
    <row r="39" ht="18.0" customHeight="1">
      <c r="A39" s="79"/>
      <c r="B39" s="67"/>
      <c r="C39" s="67"/>
      <c r="D39" s="388"/>
      <c r="E39" s="388"/>
      <c r="F39" s="130"/>
      <c r="G39" s="130"/>
      <c r="H39" s="130"/>
      <c r="I39" s="130"/>
      <c r="J39" s="130"/>
      <c r="K39" s="130"/>
    </row>
    <row r="40" ht="18.0" customHeight="1">
      <c r="A40" s="396" t="s">
        <v>976</v>
      </c>
      <c r="B40" s="38"/>
      <c r="C40" s="38"/>
      <c r="D40" s="386" t="s">
        <v>1004</v>
      </c>
      <c r="E40" s="130"/>
      <c r="F40" s="130"/>
      <c r="G40" s="130"/>
      <c r="H40" s="130"/>
      <c r="I40" s="130"/>
      <c r="J40" s="130"/>
      <c r="K40" s="130"/>
    </row>
    <row r="41" ht="18.0" customHeight="1">
      <c r="A41" s="131" t="s">
        <v>12</v>
      </c>
      <c r="B41" s="31" t="s">
        <v>16</v>
      </c>
      <c r="C41" s="31" t="s">
        <v>20</v>
      </c>
      <c r="D41" s="371" t="s">
        <v>1009</v>
      </c>
      <c r="E41" s="33" t="s">
        <v>1011</v>
      </c>
    </row>
    <row r="42" ht="18.0" customHeight="1">
      <c r="A42" s="63" t="s">
        <v>980</v>
      </c>
      <c r="B42" s="64">
        <v>40.0</v>
      </c>
      <c r="C42" s="53" t="s">
        <v>58</v>
      </c>
      <c r="D42" s="374">
        <v>84.9</v>
      </c>
      <c r="E42" s="389">
        <f>D42/1000*B42</f>
        <v>3.396</v>
      </c>
    </row>
    <row r="43" ht="18.0" customHeight="1">
      <c r="A43" s="63" t="s">
        <v>1029</v>
      </c>
      <c r="B43" s="64">
        <v>3.0</v>
      </c>
      <c r="C43" s="53" t="s">
        <v>58</v>
      </c>
      <c r="D43" s="374"/>
      <c r="E43" s="389"/>
    </row>
    <row r="44" ht="18.0" customHeight="1">
      <c r="A44" s="63" t="s">
        <v>1030</v>
      </c>
      <c r="B44" s="64">
        <v>10.0</v>
      </c>
      <c r="C44" s="53" t="s">
        <v>58</v>
      </c>
      <c r="D44" s="374"/>
      <c r="E44" s="389"/>
    </row>
    <row r="45" ht="18.0" customHeight="1">
      <c r="A45" s="63" t="s">
        <v>1031</v>
      </c>
      <c r="B45" s="64">
        <v>15.0</v>
      </c>
      <c r="C45" s="53" t="s">
        <v>58</v>
      </c>
      <c r="D45" s="374"/>
      <c r="E45" s="389"/>
    </row>
    <row r="46" ht="18.0" customHeight="1">
      <c r="A46" s="63" t="s">
        <v>1032</v>
      </c>
      <c r="B46" s="64">
        <v>20.0</v>
      </c>
      <c r="C46" s="53" t="s">
        <v>58</v>
      </c>
      <c r="D46" s="374"/>
      <c r="E46" s="389"/>
    </row>
    <row r="47" ht="18.0" customHeight="1">
      <c r="A47" s="63" t="s">
        <v>1033</v>
      </c>
      <c r="B47" s="64">
        <v>40.0</v>
      </c>
      <c r="C47" s="53" t="s">
        <v>58</v>
      </c>
      <c r="D47" s="374"/>
      <c r="E47" s="389"/>
    </row>
    <row r="48" ht="18.0" customHeight="1">
      <c r="A48" s="132" t="s">
        <v>963</v>
      </c>
      <c r="B48" s="133"/>
      <c r="C48" s="134"/>
      <c r="D48" s="136"/>
      <c r="E48" s="136">
        <f>SUM(E42:E47)</f>
        <v>3.396</v>
      </c>
    </row>
    <row r="49" ht="18.0" customHeight="1">
      <c r="A49" s="79"/>
      <c r="B49" s="67"/>
      <c r="C49" s="67"/>
      <c r="D49" s="388"/>
      <c r="E49" s="388"/>
      <c r="F49" s="130"/>
      <c r="G49" s="130"/>
      <c r="H49" s="130"/>
      <c r="I49" s="130"/>
      <c r="J49" s="130"/>
      <c r="K49" s="130"/>
    </row>
    <row r="50" ht="18.0" customHeight="1">
      <c r="A50" s="396" t="s">
        <v>977</v>
      </c>
      <c r="B50" s="38"/>
      <c r="C50" s="38"/>
      <c r="D50" s="386" t="s">
        <v>1004</v>
      </c>
      <c r="E50" s="130"/>
      <c r="F50" s="130"/>
      <c r="G50" s="130"/>
      <c r="H50" s="130"/>
      <c r="I50" s="130"/>
      <c r="J50" s="130"/>
      <c r="K50" s="130"/>
    </row>
    <row r="51" ht="18.0" customHeight="1">
      <c r="A51" s="131" t="s">
        <v>12</v>
      </c>
      <c r="B51" s="31" t="s">
        <v>16</v>
      </c>
      <c r="C51" s="31" t="s">
        <v>20</v>
      </c>
      <c r="D51" s="371" t="s">
        <v>1009</v>
      </c>
      <c r="E51" s="33" t="s">
        <v>1011</v>
      </c>
    </row>
    <row r="52" ht="18.0" customHeight="1">
      <c r="A52" s="63" t="s">
        <v>1034</v>
      </c>
      <c r="B52" s="64">
        <v>50.0</v>
      </c>
      <c r="C52" s="53" t="s">
        <v>58</v>
      </c>
      <c r="D52" s="374">
        <v>64.0</v>
      </c>
      <c r="E52" s="389">
        <f t="shared" ref="E52:E58" si="5">D52/1000*B52</f>
        <v>3.2</v>
      </c>
    </row>
    <row r="53" ht="18.0" customHeight="1">
      <c r="A53" s="63" t="s">
        <v>1035</v>
      </c>
      <c r="B53" s="64">
        <v>25.0</v>
      </c>
      <c r="C53" s="53" t="s">
        <v>58</v>
      </c>
      <c r="D53" s="374"/>
      <c r="E53" s="389">
        <f t="shared" si="5"/>
        <v>0</v>
      </c>
    </row>
    <row r="54" ht="18.0" customHeight="1">
      <c r="A54" s="63" t="s">
        <v>993</v>
      </c>
      <c r="B54" s="64">
        <v>25.0</v>
      </c>
      <c r="C54" s="53" t="s">
        <v>58</v>
      </c>
      <c r="D54" s="374">
        <v>60.42666666666667</v>
      </c>
      <c r="E54" s="389">
        <f t="shared" si="5"/>
        <v>1.510666667</v>
      </c>
    </row>
    <row r="55" ht="18.0" customHeight="1">
      <c r="A55" s="63" t="s">
        <v>1036</v>
      </c>
      <c r="B55" s="64">
        <v>10.0</v>
      </c>
      <c r="C55" s="53" t="s">
        <v>58</v>
      </c>
      <c r="D55" s="374"/>
      <c r="E55" s="389">
        <f t="shared" si="5"/>
        <v>0</v>
      </c>
    </row>
    <row r="56" ht="18.0" customHeight="1">
      <c r="A56" s="63" t="s">
        <v>1037</v>
      </c>
      <c r="B56" s="64"/>
      <c r="C56" s="53" t="s">
        <v>58</v>
      </c>
      <c r="D56" s="374"/>
      <c r="E56" s="389">
        <f t="shared" si="5"/>
        <v>0</v>
      </c>
    </row>
    <row r="57" ht="18.0" customHeight="1">
      <c r="A57" s="63" t="s">
        <v>1038</v>
      </c>
      <c r="B57" s="64"/>
      <c r="C57" s="53" t="s">
        <v>58</v>
      </c>
      <c r="D57" s="374"/>
      <c r="E57" s="389">
        <f t="shared" si="5"/>
        <v>0</v>
      </c>
    </row>
    <row r="58" ht="18.0" customHeight="1">
      <c r="A58" s="63" t="s">
        <v>1039</v>
      </c>
      <c r="B58" s="64"/>
      <c r="C58" s="53" t="s">
        <v>58</v>
      </c>
      <c r="D58" s="374"/>
      <c r="E58" s="389">
        <f t="shared" si="5"/>
        <v>0</v>
      </c>
    </row>
    <row r="59" ht="18.0" customHeight="1">
      <c r="A59" s="132" t="s">
        <v>963</v>
      </c>
      <c r="B59" s="398"/>
      <c r="C59" s="398"/>
      <c r="D59" s="136"/>
      <c r="E59" s="136">
        <f>SUM(E52:E58)</f>
        <v>4.710666667</v>
      </c>
    </row>
    <row r="60" ht="18.0" customHeight="1">
      <c r="A60" s="79"/>
      <c r="B60" s="67"/>
      <c r="C60" s="67"/>
      <c r="D60" s="388"/>
      <c r="E60" s="388"/>
      <c r="F60" s="130"/>
      <c r="G60" s="130"/>
      <c r="H60" s="130"/>
      <c r="I60" s="130"/>
      <c r="J60" s="130"/>
      <c r="K60" s="130"/>
    </row>
    <row r="61" ht="15.75" customHeight="1">
      <c r="A61" s="396" t="s">
        <v>1040</v>
      </c>
      <c r="B61" s="38"/>
      <c r="C61" s="38"/>
      <c r="D61" s="386" t="s">
        <v>1004</v>
      </c>
      <c r="E61" s="130"/>
    </row>
    <row r="62" ht="15.75" customHeight="1">
      <c r="A62" s="131" t="s">
        <v>12</v>
      </c>
      <c r="B62" s="31" t="s">
        <v>16</v>
      </c>
      <c r="C62" s="31" t="s">
        <v>20</v>
      </c>
      <c r="D62" s="371" t="s">
        <v>1009</v>
      </c>
      <c r="E62" s="33" t="s">
        <v>1011</v>
      </c>
    </row>
    <row r="63" ht="15.75" customHeight="1">
      <c r="A63" s="63" t="s">
        <v>983</v>
      </c>
      <c r="B63" s="64">
        <v>50.0</v>
      </c>
      <c r="C63" s="53" t="s">
        <v>25</v>
      </c>
      <c r="D63" s="374">
        <v>346.5333333333333</v>
      </c>
      <c r="E63" s="389">
        <f t="shared" ref="E63:E67" si="6">D63/1000*B63</f>
        <v>17.32666667</v>
      </c>
    </row>
    <row r="64" ht="15.75" customHeight="1">
      <c r="A64" s="63" t="s">
        <v>996</v>
      </c>
      <c r="B64" s="64">
        <v>15.0</v>
      </c>
      <c r="C64" s="53" t="s">
        <v>25</v>
      </c>
      <c r="D64" s="374">
        <v>79.16666666666667</v>
      </c>
      <c r="E64" s="389">
        <f t="shared" si="6"/>
        <v>1.1875</v>
      </c>
    </row>
    <row r="65" ht="15.75" customHeight="1">
      <c r="A65" s="63" t="s">
        <v>1041</v>
      </c>
      <c r="B65" s="64">
        <v>40.0</v>
      </c>
      <c r="C65" s="53" t="s">
        <v>25</v>
      </c>
      <c r="D65" s="374"/>
      <c r="E65" s="389">
        <f t="shared" si="6"/>
        <v>0</v>
      </c>
    </row>
    <row r="66" ht="15.75" customHeight="1">
      <c r="A66" s="63" t="s">
        <v>1043</v>
      </c>
      <c r="B66" s="64">
        <v>40.0</v>
      </c>
      <c r="C66" s="53" t="s">
        <v>25</v>
      </c>
      <c r="D66" s="374"/>
      <c r="E66" s="389">
        <f t="shared" si="6"/>
        <v>0</v>
      </c>
    </row>
    <row r="67" ht="15.75" customHeight="1">
      <c r="A67" s="63" t="s">
        <v>1044</v>
      </c>
      <c r="B67" s="64">
        <v>10.0</v>
      </c>
      <c r="C67" s="53" t="s">
        <v>25</v>
      </c>
      <c r="D67" s="374"/>
      <c r="E67" s="389">
        <f t="shared" si="6"/>
        <v>0</v>
      </c>
    </row>
    <row r="68" ht="15.75" customHeight="1">
      <c r="A68" s="132" t="s">
        <v>963</v>
      </c>
      <c r="B68" s="133"/>
      <c r="C68" s="134"/>
      <c r="D68" s="136"/>
      <c r="E68" s="136">
        <f>SUM(E63:E67)</f>
        <v>18.51416667</v>
      </c>
    </row>
    <row r="69" ht="15.75" customHeight="1">
      <c r="B69" s="5"/>
      <c r="D69" s="394"/>
    </row>
    <row r="70" ht="15.75" customHeight="1">
      <c r="A70" s="396" t="s">
        <v>982</v>
      </c>
      <c r="B70" s="38"/>
      <c r="C70" s="38"/>
      <c r="D70" s="386" t="s">
        <v>1004</v>
      </c>
      <c r="E70" s="130"/>
    </row>
    <row r="71" ht="15.75" customHeight="1">
      <c r="A71" s="131" t="s">
        <v>12</v>
      </c>
      <c r="B71" s="31" t="s">
        <v>16</v>
      </c>
      <c r="C71" s="31" t="s">
        <v>20</v>
      </c>
      <c r="D71" s="371" t="s">
        <v>1009</v>
      </c>
      <c r="E71" s="33" t="s">
        <v>1011</v>
      </c>
    </row>
    <row r="72" ht="15.75" customHeight="1">
      <c r="A72" s="63" t="s">
        <v>1056</v>
      </c>
      <c r="B72" s="64">
        <v>25.0</v>
      </c>
      <c r="C72" s="53" t="s">
        <v>25</v>
      </c>
      <c r="D72" s="374">
        <v>176.0</v>
      </c>
      <c r="E72" s="389">
        <f t="shared" ref="E72:E74" si="7">D72/1000*B72</f>
        <v>4.4</v>
      </c>
    </row>
    <row r="73" ht="15.75" customHeight="1">
      <c r="A73" s="63" t="s">
        <v>973</v>
      </c>
      <c r="B73" s="64">
        <v>10.0</v>
      </c>
      <c r="C73" s="53" t="s">
        <v>25</v>
      </c>
      <c r="D73" s="374">
        <v>217.33333333333334</v>
      </c>
      <c r="E73" s="389">
        <f t="shared" si="7"/>
        <v>2.173333333</v>
      </c>
    </row>
    <row r="74" ht="15.75" customHeight="1">
      <c r="A74" s="63" t="s">
        <v>1061</v>
      </c>
      <c r="B74" s="64">
        <v>130.0</v>
      </c>
      <c r="C74" s="53" t="s">
        <v>25</v>
      </c>
      <c r="D74" s="374">
        <v>29.35</v>
      </c>
      <c r="E74" s="389">
        <f t="shared" si="7"/>
        <v>3.8155</v>
      </c>
    </row>
    <row r="75" ht="15.75" customHeight="1">
      <c r="A75" s="132" t="s">
        <v>1011</v>
      </c>
      <c r="B75" s="133"/>
      <c r="C75" s="134"/>
      <c r="D75" s="136"/>
      <c r="E75" s="136">
        <f>SUM(E72:E74)</f>
        <v>10.38883333</v>
      </c>
    </row>
    <row r="76" ht="15.75" customHeight="1">
      <c r="B76" s="5"/>
      <c r="D76" s="394"/>
    </row>
    <row r="77" ht="15.75" customHeight="1">
      <c r="A77" s="396" t="s">
        <v>984</v>
      </c>
      <c r="B77" s="38"/>
      <c r="C77" s="38"/>
      <c r="D77" s="386" t="s">
        <v>1004</v>
      </c>
      <c r="E77" s="130"/>
    </row>
    <row r="78" ht="15.75" customHeight="1">
      <c r="A78" s="131" t="s">
        <v>12</v>
      </c>
      <c r="B78" s="31" t="s">
        <v>16</v>
      </c>
      <c r="C78" s="31" t="s">
        <v>20</v>
      </c>
      <c r="D78" s="371" t="s">
        <v>1009</v>
      </c>
      <c r="E78" s="33" t="s">
        <v>1011</v>
      </c>
    </row>
    <row r="79" ht="15.75" customHeight="1">
      <c r="A79" s="63" t="s">
        <v>1073</v>
      </c>
      <c r="B79" s="64">
        <v>100.0</v>
      </c>
      <c r="C79" s="53" t="s">
        <v>25</v>
      </c>
      <c r="D79" s="374">
        <v>34.01</v>
      </c>
      <c r="E79" s="389">
        <f t="shared" ref="E79:E83" si="8">D79/1000*B79</f>
        <v>3.401</v>
      </c>
    </row>
    <row r="80" ht="15.75" customHeight="1">
      <c r="A80" s="63" t="s">
        <v>1000</v>
      </c>
      <c r="B80" s="64">
        <v>50.0</v>
      </c>
      <c r="C80" s="53" t="s">
        <v>25</v>
      </c>
      <c r="D80" s="374">
        <v>29.35</v>
      </c>
      <c r="E80" s="389">
        <f t="shared" si="8"/>
        <v>1.4675</v>
      </c>
    </row>
    <row r="81" ht="15.75" customHeight="1">
      <c r="A81" s="63" t="s">
        <v>1078</v>
      </c>
      <c r="B81" s="64">
        <v>10.0</v>
      </c>
      <c r="C81" s="53" t="s">
        <v>25</v>
      </c>
      <c r="D81" s="374"/>
      <c r="E81" s="389">
        <f t="shared" si="8"/>
        <v>0</v>
      </c>
    </row>
    <row r="82" ht="15.75" customHeight="1">
      <c r="A82" s="63" t="s">
        <v>1080</v>
      </c>
      <c r="B82" s="64">
        <v>5.0</v>
      </c>
      <c r="C82" s="53" t="s">
        <v>25</v>
      </c>
      <c r="D82" s="374"/>
      <c r="E82" s="389">
        <f t="shared" si="8"/>
        <v>0</v>
      </c>
    </row>
    <row r="83" ht="15.75" customHeight="1">
      <c r="A83" s="63" t="s">
        <v>1083</v>
      </c>
      <c r="B83" s="64">
        <v>5.0</v>
      </c>
      <c r="C83" s="53" t="s">
        <v>25</v>
      </c>
      <c r="D83" s="374"/>
      <c r="E83" s="389">
        <f t="shared" si="8"/>
        <v>0</v>
      </c>
    </row>
    <row r="84" ht="15.75" customHeight="1">
      <c r="A84" s="132" t="s">
        <v>62</v>
      </c>
      <c r="B84" s="133"/>
      <c r="C84" s="134"/>
      <c r="D84" s="136"/>
      <c r="E84" s="136">
        <f>SUM(E79:E83)</f>
        <v>4.8685</v>
      </c>
    </row>
    <row r="85" ht="15.75" customHeight="1">
      <c r="B85" s="5"/>
      <c r="D85" s="394"/>
    </row>
    <row r="86" ht="15.75" customHeight="1">
      <c r="A86" s="396" t="s">
        <v>1087</v>
      </c>
      <c r="B86" s="38"/>
      <c r="C86" s="38"/>
      <c r="D86" s="386" t="s">
        <v>1004</v>
      </c>
      <c r="E86" s="130"/>
    </row>
    <row r="87" ht="15.75" customHeight="1">
      <c r="A87" s="131" t="s">
        <v>12</v>
      </c>
      <c r="B87" s="31" t="s">
        <v>16</v>
      </c>
      <c r="C87" s="31" t="s">
        <v>20</v>
      </c>
      <c r="D87" s="371" t="s">
        <v>1009</v>
      </c>
      <c r="E87" s="33" t="s">
        <v>1011</v>
      </c>
    </row>
    <row r="88" ht="15.75" customHeight="1">
      <c r="A88" s="63" t="s">
        <v>1090</v>
      </c>
      <c r="B88" s="64">
        <v>50.0</v>
      </c>
      <c r="C88" s="53" t="s">
        <v>25</v>
      </c>
      <c r="D88" s="374">
        <v>36.0</v>
      </c>
      <c r="E88" s="389">
        <f t="shared" ref="E88:E93" si="9">D88/1000*B88</f>
        <v>1.8</v>
      </c>
    </row>
    <row r="89" ht="15.75" customHeight="1">
      <c r="A89" s="63" t="s">
        <v>1094</v>
      </c>
      <c r="B89" s="64">
        <v>50.0</v>
      </c>
      <c r="C89" s="53" t="s">
        <v>25</v>
      </c>
      <c r="D89" s="374"/>
      <c r="E89" s="389">
        <f t="shared" si="9"/>
        <v>0</v>
      </c>
    </row>
    <row r="90" ht="15.75" customHeight="1">
      <c r="A90" s="63" t="s">
        <v>1096</v>
      </c>
      <c r="B90" s="64">
        <v>10.0</v>
      </c>
      <c r="C90" s="53" t="s">
        <v>25</v>
      </c>
      <c r="D90" s="374"/>
      <c r="E90" s="389">
        <f t="shared" si="9"/>
        <v>0</v>
      </c>
    </row>
    <row r="91" ht="15.75" customHeight="1">
      <c r="A91" s="63" t="s">
        <v>1099</v>
      </c>
      <c r="B91" s="64">
        <v>20.0</v>
      </c>
      <c r="C91" s="53" t="s">
        <v>25</v>
      </c>
      <c r="D91" s="374"/>
      <c r="E91" s="389">
        <f t="shared" si="9"/>
        <v>0</v>
      </c>
    </row>
    <row r="92" ht="15.75" customHeight="1">
      <c r="A92" s="63" t="s">
        <v>1101</v>
      </c>
      <c r="B92" s="64">
        <v>20.0</v>
      </c>
      <c r="C92" s="53" t="s">
        <v>25</v>
      </c>
      <c r="D92" s="374"/>
      <c r="E92" s="389">
        <f t="shared" si="9"/>
        <v>0</v>
      </c>
    </row>
    <row r="93" ht="15.75" customHeight="1">
      <c r="A93" s="63" t="s">
        <v>1102</v>
      </c>
      <c r="B93" s="64">
        <v>30.0</v>
      </c>
      <c r="C93" s="53" t="s">
        <v>25</v>
      </c>
      <c r="D93" s="374"/>
      <c r="E93" s="389">
        <f t="shared" si="9"/>
        <v>0</v>
      </c>
    </row>
    <row r="94" ht="15.75" customHeight="1">
      <c r="A94" s="132" t="s">
        <v>1011</v>
      </c>
      <c r="B94" s="133"/>
      <c r="C94" s="134" t="s">
        <v>60</v>
      </c>
      <c r="D94" s="136"/>
      <c r="E94" s="136">
        <f>SUM(E88:E93)</f>
        <v>1.8</v>
      </c>
    </row>
    <row r="95" ht="15.75" customHeight="1">
      <c r="B95" s="5"/>
      <c r="D95" s="394"/>
    </row>
    <row r="96" ht="15.75" customHeight="1">
      <c r="A96" s="396" t="s">
        <v>1103</v>
      </c>
      <c r="B96" s="38"/>
      <c r="C96" s="38"/>
      <c r="D96" s="386" t="s">
        <v>1004</v>
      </c>
      <c r="E96" s="130"/>
    </row>
    <row r="97" ht="15.75" customHeight="1">
      <c r="A97" s="131" t="s">
        <v>12</v>
      </c>
      <c r="B97" s="31" t="s">
        <v>16</v>
      </c>
      <c r="C97" s="31" t="s">
        <v>20</v>
      </c>
      <c r="D97" s="371" t="s">
        <v>1009</v>
      </c>
      <c r="E97" s="33" t="s">
        <v>1011</v>
      </c>
    </row>
    <row r="98" ht="15.75" customHeight="1">
      <c r="A98" s="63" t="s">
        <v>1007</v>
      </c>
      <c r="B98" s="64">
        <v>50.0</v>
      </c>
      <c r="C98" s="53" t="s">
        <v>25</v>
      </c>
      <c r="D98" s="374">
        <v>130.53333333333333</v>
      </c>
      <c r="E98" s="389">
        <f t="shared" ref="E98:E104" si="10">D98/1000*B98</f>
        <v>6.526666667</v>
      </c>
    </row>
    <row r="99" ht="15.75" customHeight="1">
      <c r="A99" s="63" t="s">
        <v>1104</v>
      </c>
      <c r="B99" s="64">
        <v>30.0</v>
      </c>
      <c r="C99" s="53" t="s">
        <v>25</v>
      </c>
      <c r="D99" s="374"/>
      <c r="E99" s="389">
        <f t="shared" si="10"/>
        <v>0</v>
      </c>
    </row>
    <row r="100" ht="15.75" customHeight="1">
      <c r="A100" s="63" t="s">
        <v>1105</v>
      </c>
      <c r="B100" s="64"/>
      <c r="C100" s="53" t="s">
        <v>25</v>
      </c>
      <c r="D100" s="374"/>
      <c r="E100" s="389">
        <f t="shared" si="10"/>
        <v>0</v>
      </c>
    </row>
    <row r="101" ht="15.75" customHeight="1">
      <c r="A101" s="63" t="s">
        <v>1106</v>
      </c>
      <c r="B101" s="64">
        <v>10.0</v>
      </c>
      <c r="C101" s="53" t="s">
        <v>25</v>
      </c>
      <c r="D101" s="374"/>
      <c r="E101" s="389">
        <f t="shared" si="10"/>
        <v>0</v>
      </c>
    </row>
    <row r="102" ht="15.75" customHeight="1">
      <c r="A102" s="63" t="s">
        <v>1107</v>
      </c>
      <c r="B102" s="64">
        <v>5.0</v>
      </c>
      <c r="C102" s="53" t="s">
        <v>25</v>
      </c>
      <c r="D102" s="374"/>
      <c r="E102" s="389">
        <f t="shared" si="10"/>
        <v>0</v>
      </c>
    </row>
    <row r="103" ht="15.75" customHeight="1">
      <c r="A103" s="63" t="s">
        <v>1108</v>
      </c>
      <c r="B103" s="64">
        <v>2.0</v>
      </c>
      <c r="C103" s="53" t="s">
        <v>20</v>
      </c>
      <c r="D103" s="374"/>
      <c r="E103" s="389">
        <f t="shared" si="10"/>
        <v>0</v>
      </c>
    </row>
    <row r="104" ht="15.75" customHeight="1">
      <c r="A104" s="63" t="s">
        <v>1109</v>
      </c>
      <c r="B104" s="64">
        <v>3.0</v>
      </c>
      <c r="C104" s="53" t="s">
        <v>93</v>
      </c>
      <c r="D104" s="374"/>
      <c r="E104" s="389">
        <f t="shared" si="10"/>
        <v>0</v>
      </c>
    </row>
    <row r="105" ht="15.75" customHeight="1">
      <c r="A105" s="132" t="s">
        <v>963</v>
      </c>
      <c r="B105" s="398"/>
      <c r="C105" s="398"/>
      <c r="D105" s="136"/>
      <c r="E105" s="136">
        <f>SUM(E98:E104)</f>
        <v>6.526666667</v>
      </c>
    </row>
    <row r="106" ht="15.75" customHeight="1">
      <c r="B106" s="5"/>
      <c r="D106" s="394"/>
    </row>
    <row r="107" ht="15.75" customHeight="1">
      <c r="A107" s="396" t="s">
        <v>989</v>
      </c>
      <c r="B107" s="38"/>
      <c r="C107" s="38"/>
      <c r="D107" s="386" t="s">
        <v>1004</v>
      </c>
      <c r="E107" s="130"/>
    </row>
    <row r="108" ht="15.75" customHeight="1">
      <c r="A108" s="131" t="s">
        <v>12</v>
      </c>
      <c r="B108" s="31" t="s">
        <v>16</v>
      </c>
      <c r="C108" s="31" t="s">
        <v>20</v>
      </c>
      <c r="D108" s="371" t="s">
        <v>1009</v>
      </c>
      <c r="E108" s="33" t="s">
        <v>1011</v>
      </c>
    </row>
    <row r="109" ht="15.75" customHeight="1">
      <c r="A109" s="63" t="s">
        <v>1110</v>
      </c>
      <c r="B109" s="64">
        <v>50.0</v>
      </c>
      <c r="C109" s="53" t="s">
        <v>25</v>
      </c>
      <c r="D109" s="374">
        <v>36.0</v>
      </c>
      <c r="E109" s="389">
        <f t="shared" ref="E109:E112" si="11">D109/1000*B109</f>
        <v>1.8</v>
      </c>
    </row>
    <row r="110" ht="15.75" customHeight="1">
      <c r="A110" s="63" t="s">
        <v>1111</v>
      </c>
      <c r="B110" s="64">
        <v>40.0</v>
      </c>
      <c r="C110" s="53" t="s">
        <v>25</v>
      </c>
      <c r="D110" s="374"/>
      <c r="E110" s="389">
        <f t="shared" si="11"/>
        <v>0</v>
      </c>
    </row>
    <row r="111" ht="15.75" customHeight="1">
      <c r="A111" s="63" t="s">
        <v>1112</v>
      </c>
      <c r="B111" s="64">
        <v>20.0</v>
      </c>
      <c r="C111" s="53" t="s">
        <v>25</v>
      </c>
      <c r="D111" s="374"/>
      <c r="E111" s="389">
        <f t="shared" si="11"/>
        <v>0</v>
      </c>
    </row>
    <row r="112" ht="15.75" customHeight="1">
      <c r="A112" s="63" t="s">
        <v>1113</v>
      </c>
      <c r="B112" s="64">
        <v>1.0</v>
      </c>
      <c r="C112" s="53" t="s">
        <v>25</v>
      </c>
      <c r="D112" s="374"/>
      <c r="E112" s="389">
        <f t="shared" si="11"/>
        <v>0</v>
      </c>
    </row>
    <row r="113" ht="15.75" customHeight="1">
      <c r="A113" s="132" t="s">
        <v>963</v>
      </c>
      <c r="B113" s="133"/>
      <c r="C113" s="134"/>
      <c r="D113" s="136"/>
      <c r="E113" s="136">
        <f>SUM(E109:E112)</f>
        <v>1.8</v>
      </c>
    </row>
    <row r="114" ht="15.75" customHeight="1">
      <c r="B114" s="5"/>
      <c r="D114" s="394"/>
    </row>
    <row r="115" ht="15.75" customHeight="1">
      <c r="A115" s="396" t="s">
        <v>1114</v>
      </c>
      <c r="B115" s="38"/>
      <c r="C115" s="38"/>
      <c r="D115" s="386" t="s">
        <v>1004</v>
      </c>
      <c r="E115" s="130"/>
    </row>
    <row r="116" ht="15.75" customHeight="1">
      <c r="A116" s="131" t="s">
        <v>12</v>
      </c>
      <c r="B116" s="31" t="s">
        <v>16</v>
      </c>
      <c r="C116" s="31" t="s">
        <v>20</v>
      </c>
      <c r="D116" s="371" t="s">
        <v>1009</v>
      </c>
      <c r="E116" s="33" t="s">
        <v>1011</v>
      </c>
    </row>
    <row r="117" ht="15.75" customHeight="1">
      <c r="A117" s="63" t="s">
        <v>987</v>
      </c>
      <c r="B117" s="64">
        <v>50.0</v>
      </c>
      <c r="C117" s="53" t="s">
        <v>25</v>
      </c>
      <c r="D117" s="374">
        <v>112.9</v>
      </c>
      <c r="E117" s="389">
        <f t="shared" ref="E117:E122" si="12">D117/1000*B117</f>
        <v>5.645</v>
      </c>
    </row>
    <row r="118" ht="15.75" customHeight="1">
      <c r="A118" s="63" t="s">
        <v>727</v>
      </c>
      <c r="B118" s="64">
        <v>50.0</v>
      </c>
      <c r="C118" s="53" t="s">
        <v>25</v>
      </c>
      <c r="D118" s="374"/>
      <c r="E118" s="389">
        <f t="shared" si="12"/>
        <v>0</v>
      </c>
    </row>
    <row r="119" ht="15.75" customHeight="1">
      <c r="A119" s="63" t="s">
        <v>728</v>
      </c>
      <c r="B119" s="64">
        <v>15.0</v>
      </c>
      <c r="C119" s="53" t="s">
        <v>25</v>
      </c>
      <c r="D119" s="374"/>
      <c r="E119" s="389">
        <f t="shared" si="12"/>
        <v>0</v>
      </c>
    </row>
    <row r="120" ht="15.75" customHeight="1">
      <c r="A120" s="63" t="s">
        <v>1115</v>
      </c>
      <c r="B120" s="64">
        <v>10.0</v>
      </c>
      <c r="C120" s="53" t="s">
        <v>25</v>
      </c>
      <c r="D120" s="374"/>
      <c r="E120" s="389">
        <f t="shared" si="12"/>
        <v>0</v>
      </c>
    </row>
    <row r="121" ht="15.75" customHeight="1">
      <c r="A121" s="63" t="s">
        <v>1104</v>
      </c>
      <c r="B121" s="64">
        <v>60.0</v>
      </c>
      <c r="C121" s="53" t="s">
        <v>25</v>
      </c>
      <c r="D121" s="374"/>
      <c r="E121" s="389">
        <f t="shared" si="12"/>
        <v>0</v>
      </c>
    </row>
    <row r="122" ht="15.75" customHeight="1">
      <c r="A122" s="63" t="s">
        <v>731</v>
      </c>
      <c r="B122" s="64">
        <v>10.0</v>
      </c>
      <c r="C122" s="53" t="s">
        <v>25</v>
      </c>
      <c r="D122" s="374"/>
      <c r="E122" s="389">
        <f t="shared" si="12"/>
        <v>0</v>
      </c>
    </row>
    <row r="123" ht="15.75" customHeight="1">
      <c r="A123" s="132" t="s">
        <v>1011</v>
      </c>
      <c r="B123" s="398"/>
      <c r="C123" s="398"/>
      <c r="D123" s="136"/>
      <c r="E123" s="136">
        <f>SUM(E117:E122)</f>
        <v>5.645</v>
      </c>
    </row>
    <row r="124" ht="15.75" customHeight="1">
      <c r="B124" s="5"/>
      <c r="D124" s="394"/>
    </row>
    <row r="125" ht="15.75" customHeight="1">
      <c r="A125" s="396" t="s">
        <v>1116</v>
      </c>
      <c r="B125" s="38"/>
      <c r="C125" s="38"/>
      <c r="D125" s="386" t="s">
        <v>1004</v>
      </c>
      <c r="E125" s="130"/>
    </row>
    <row r="126" ht="15.75" customHeight="1">
      <c r="A126" s="131" t="s">
        <v>12</v>
      </c>
      <c r="B126" s="31" t="s">
        <v>16</v>
      </c>
      <c r="C126" s="31" t="s">
        <v>20</v>
      </c>
      <c r="D126" s="371" t="s">
        <v>1009</v>
      </c>
      <c r="E126" s="33" t="s">
        <v>1011</v>
      </c>
    </row>
    <row r="127" ht="15.75" customHeight="1">
      <c r="A127" s="63" t="s">
        <v>978</v>
      </c>
      <c r="B127" s="64">
        <v>50.0</v>
      </c>
      <c r="C127" s="53" t="s">
        <v>25</v>
      </c>
      <c r="D127" s="374">
        <v>65.0</v>
      </c>
      <c r="E127" s="389">
        <f t="shared" ref="E127:E130" si="13">D127/1000*B127</f>
        <v>3.25</v>
      </c>
    </row>
    <row r="128" ht="15.75" customHeight="1">
      <c r="A128" s="63" t="s">
        <v>1117</v>
      </c>
      <c r="B128" s="64">
        <v>20.0</v>
      </c>
      <c r="C128" s="53" t="s">
        <v>25</v>
      </c>
      <c r="D128" s="374">
        <v>48.28</v>
      </c>
      <c r="E128" s="389">
        <f t="shared" si="13"/>
        <v>0.9656</v>
      </c>
    </row>
    <row r="129" ht="15.75" customHeight="1">
      <c r="A129" s="63" t="s">
        <v>1118</v>
      </c>
      <c r="B129" s="64">
        <v>20.0</v>
      </c>
      <c r="C129" s="53" t="s">
        <v>25</v>
      </c>
      <c r="D129" s="374"/>
      <c r="E129" s="389">
        <f t="shared" si="13"/>
        <v>0</v>
      </c>
    </row>
    <row r="130" ht="15.75" customHeight="1">
      <c r="A130" s="63" t="s">
        <v>1119</v>
      </c>
      <c r="B130" s="64">
        <v>20.0</v>
      </c>
      <c r="C130" s="53" t="s">
        <v>25</v>
      </c>
      <c r="D130" s="374"/>
      <c r="E130" s="389">
        <f t="shared" si="13"/>
        <v>0</v>
      </c>
    </row>
    <row r="131" ht="15.75" customHeight="1">
      <c r="A131" s="132" t="s">
        <v>963</v>
      </c>
      <c r="B131" s="133"/>
      <c r="C131" s="134"/>
      <c r="D131" s="136"/>
      <c r="E131" s="136">
        <f>SUM(E127:E130)</f>
        <v>4.2156</v>
      </c>
    </row>
    <row r="132" ht="15.75" customHeight="1">
      <c r="B132" s="5"/>
      <c r="D132" s="394"/>
    </row>
    <row r="133" ht="15.75" customHeight="1">
      <c r="A133" s="396" t="s">
        <v>1120</v>
      </c>
      <c r="B133" s="38"/>
      <c r="C133" s="38"/>
      <c r="D133" s="386" t="s">
        <v>1004</v>
      </c>
      <c r="E133" s="130"/>
    </row>
    <row r="134" ht="15.75" customHeight="1">
      <c r="A134" s="131" t="s">
        <v>12</v>
      </c>
      <c r="B134" s="31" t="s">
        <v>16</v>
      </c>
      <c r="C134" s="31" t="s">
        <v>20</v>
      </c>
      <c r="D134" s="371" t="s">
        <v>1009</v>
      </c>
      <c r="E134" s="33" t="s">
        <v>1011</v>
      </c>
    </row>
    <row r="135" ht="15.75" customHeight="1">
      <c r="A135" s="63" t="s">
        <v>1121</v>
      </c>
      <c r="B135" s="64">
        <v>50.0</v>
      </c>
      <c r="C135" s="53" t="s">
        <v>25</v>
      </c>
      <c r="D135" s="374">
        <v>252.8</v>
      </c>
      <c r="E135" s="389">
        <f t="shared" ref="E135:E138" si="14">D135/1000*B135</f>
        <v>12.64</v>
      </c>
    </row>
    <row r="136" ht="15.75" customHeight="1">
      <c r="A136" s="63" t="s">
        <v>1078</v>
      </c>
      <c r="B136" s="64">
        <v>30.0</v>
      </c>
      <c r="C136" s="53" t="s">
        <v>25</v>
      </c>
      <c r="D136" s="374"/>
      <c r="E136" s="389">
        <f t="shared" si="14"/>
        <v>0</v>
      </c>
    </row>
    <row r="137" ht="15.75" customHeight="1">
      <c r="A137" s="63" t="s">
        <v>1101</v>
      </c>
      <c r="B137" s="64">
        <v>15.0</v>
      </c>
      <c r="C137" s="53" t="s">
        <v>25</v>
      </c>
      <c r="D137" s="374"/>
      <c r="E137" s="389">
        <f t="shared" si="14"/>
        <v>0</v>
      </c>
    </row>
    <row r="138" ht="15.75" customHeight="1">
      <c r="A138" s="63" t="s">
        <v>1122</v>
      </c>
      <c r="B138" s="64">
        <v>12.0</v>
      </c>
      <c r="C138" s="53" t="s">
        <v>20</v>
      </c>
      <c r="D138" s="374"/>
      <c r="E138" s="389">
        <f t="shared" si="14"/>
        <v>0</v>
      </c>
    </row>
    <row r="139" ht="15.75" customHeight="1">
      <c r="A139" s="132" t="s">
        <v>1123</v>
      </c>
      <c r="B139" s="133"/>
      <c r="C139" s="134"/>
      <c r="D139" s="136"/>
      <c r="E139" s="136">
        <f>SUM(E135:E138)</f>
        <v>12.64</v>
      </c>
    </row>
    <row r="140" ht="15.75" customHeight="1">
      <c r="B140" s="5"/>
      <c r="D140" s="394"/>
    </row>
    <row r="141" ht="15.75" customHeight="1">
      <c r="A141" s="396" t="s">
        <v>1124</v>
      </c>
      <c r="B141" s="38"/>
      <c r="C141" s="38"/>
      <c r="D141" s="386" t="s">
        <v>1004</v>
      </c>
      <c r="E141" s="130"/>
    </row>
    <row r="142" ht="15.75" customHeight="1">
      <c r="A142" s="131" t="s">
        <v>12</v>
      </c>
      <c r="B142" s="31" t="s">
        <v>16</v>
      </c>
      <c r="C142" s="31" t="s">
        <v>20</v>
      </c>
      <c r="D142" s="371" t="s">
        <v>1009</v>
      </c>
      <c r="E142" s="33" t="s">
        <v>1011</v>
      </c>
    </row>
    <row r="143" ht="15.75" customHeight="1">
      <c r="A143" s="63" t="s">
        <v>1125</v>
      </c>
      <c r="B143" s="64">
        <v>50.0</v>
      </c>
      <c r="C143" s="53" t="s">
        <v>25</v>
      </c>
      <c r="D143" s="374">
        <v>252.8</v>
      </c>
      <c r="E143" s="389">
        <f t="shared" ref="E143:E147" si="15">D143/1000*B143</f>
        <v>12.64</v>
      </c>
    </row>
    <row r="144" ht="15.75" customHeight="1">
      <c r="A144" s="63" t="s">
        <v>794</v>
      </c>
      <c r="B144" s="64">
        <v>20.0</v>
      </c>
      <c r="C144" s="53" t="s">
        <v>25</v>
      </c>
      <c r="D144" s="374">
        <v>18.88888888888889</v>
      </c>
      <c r="E144" s="389">
        <f t="shared" si="15"/>
        <v>0.3777777778</v>
      </c>
    </row>
    <row r="145" ht="15.75" customHeight="1">
      <c r="A145" s="63" t="s">
        <v>997</v>
      </c>
      <c r="B145" s="64">
        <v>20.0</v>
      </c>
      <c r="C145" s="53" t="s">
        <v>25</v>
      </c>
      <c r="D145" s="374">
        <v>79.16666666666667</v>
      </c>
      <c r="E145" s="389">
        <f t="shared" si="15"/>
        <v>1.583333333</v>
      </c>
    </row>
    <row r="146" ht="15.75" customHeight="1">
      <c r="A146" s="63" t="s">
        <v>971</v>
      </c>
      <c r="B146" s="64">
        <v>20.0</v>
      </c>
      <c r="C146" s="53" t="s">
        <v>25</v>
      </c>
      <c r="D146" s="374">
        <v>73.74</v>
      </c>
      <c r="E146" s="389">
        <f t="shared" si="15"/>
        <v>1.4748</v>
      </c>
    </row>
    <row r="147" ht="15.75" customHeight="1">
      <c r="A147" s="63" t="s">
        <v>1126</v>
      </c>
      <c r="B147" s="64">
        <v>15.0</v>
      </c>
      <c r="C147" s="53" t="s">
        <v>25</v>
      </c>
      <c r="D147" s="374"/>
      <c r="E147" s="389">
        <f t="shared" si="15"/>
        <v>0</v>
      </c>
    </row>
    <row r="148" ht="15.75" customHeight="1">
      <c r="A148" s="132" t="s">
        <v>963</v>
      </c>
      <c r="B148" s="133"/>
      <c r="C148" s="134"/>
      <c r="D148" s="136"/>
      <c r="E148" s="136">
        <f>SUM(E143:E147)</f>
        <v>16.07591111</v>
      </c>
    </row>
    <row r="149" ht="15.75" customHeight="1">
      <c r="B149" s="5"/>
      <c r="D149" s="394"/>
    </row>
    <row r="150" ht="15.75" customHeight="1">
      <c r="A150" s="396" t="s">
        <v>1127</v>
      </c>
      <c r="B150" s="38"/>
      <c r="C150" s="38"/>
      <c r="D150" s="386" t="s">
        <v>1004</v>
      </c>
      <c r="E150" s="130"/>
    </row>
    <row r="151" ht="15.75" customHeight="1">
      <c r="A151" s="131" t="s">
        <v>12</v>
      </c>
      <c r="B151" s="31" t="s">
        <v>16</v>
      </c>
      <c r="C151" s="31" t="s">
        <v>20</v>
      </c>
      <c r="D151" s="371" t="s">
        <v>1009</v>
      </c>
      <c r="E151" s="33" t="s">
        <v>1011</v>
      </c>
    </row>
    <row r="152" ht="15.75" customHeight="1">
      <c r="A152" s="63" t="s">
        <v>1128</v>
      </c>
      <c r="B152" s="64">
        <v>40.0</v>
      </c>
      <c r="C152" s="53" t="s">
        <v>25</v>
      </c>
      <c r="D152" s="374">
        <v>218.67</v>
      </c>
      <c r="E152" s="389">
        <f t="shared" ref="E152:E155" si="16">D152/1000*B152</f>
        <v>8.7468</v>
      </c>
    </row>
    <row r="153" ht="15.75" customHeight="1">
      <c r="A153" s="63" t="s">
        <v>1010</v>
      </c>
      <c r="B153" s="64">
        <v>20.0</v>
      </c>
      <c r="C153" s="53" t="s">
        <v>25</v>
      </c>
      <c r="D153" s="374">
        <v>236.53333333333333</v>
      </c>
      <c r="E153" s="389">
        <f t="shared" si="16"/>
        <v>4.730666667</v>
      </c>
    </row>
    <row r="154" ht="15.75" customHeight="1">
      <c r="A154" s="63" t="s">
        <v>971</v>
      </c>
      <c r="B154" s="64">
        <v>30.0</v>
      </c>
      <c r="C154" s="53" t="s">
        <v>25</v>
      </c>
      <c r="D154" s="161">
        <v>73.74</v>
      </c>
      <c r="E154" s="389">
        <f t="shared" si="16"/>
        <v>2.2122</v>
      </c>
    </row>
    <row r="155" ht="15.75" customHeight="1">
      <c r="A155" s="63" t="s">
        <v>1129</v>
      </c>
      <c r="B155" s="64">
        <v>1.0</v>
      </c>
      <c r="C155" s="53" t="s">
        <v>25</v>
      </c>
      <c r="D155" s="374"/>
      <c r="E155" s="389">
        <f t="shared" si="16"/>
        <v>0</v>
      </c>
    </row>
    <row r="156" ht="15.75" customHeight="1">
      <c r="A156" s="132" t="s">
        <v>963</v>
      </c>
      <c r="B156" s="398"/>
      <c r="C156" s="398"/>
      <c r="D156" s="136"/>
      <c r="E156" s="136">
        <f>SUM(E152:E155)</f>
        <v>15.68966667</v>
      </c>
    </row>
    <row r="157" ht="15.75" customHeight="1">
      <c r="B157" s="5"/>
      <c r="D157" s="394"/>
    </row>
    <row r="158" ht="15.75" customHeight="1">
      <c r="A158" s="396" t="s">
        <v>806</v>
      </c>
      <c r="B158" s="38"/>
      <c r="C158" s="38"/>
      <c r="D158" s="386" t="s">
        <v>1004</v>
      </c>
      <c r="E158" s="130"/>
    </row>
    <row r="159" ht="15.75" customHeight="1">
      <c r="A159" s="131" t="s">
        <v>12</v>
      </c>
      <c r="B159" s="31" t="s">
        <v>16</v>
      </c>
      <c r="C159" s="31" t="s">
        <v>20</v>
      </c>
      <c r="D159" s="371" t="s">
        <v>1009</v>
      </c>
      <c r="E159" s="33" t="s">
        <v>1011</v>
      </c>
    </row>
    <row r="160" ht="15.75" customHeight="1">
      <c r="A160" s="63" t="s">
        <v>1130</v>
      </c>
      <c r="B160" s="64">
        <v>50.0</v>
      </c>
      <c r="C160" s="53" t="s">
        <v>25</v>
      </c>
      <c r="D160" s="374">
        <v>48.27</v>
      </c>
      <c r="E160" s="389">
        <f t="shared" ref="E160:E166" si="17">D160/1000*B160</f>
        <v>2.4135</v>
      </c>
    </row>
    <row r="161" ht="15.75" customHeight="1">
      <c r="A161" s="63" t="s">
        <v>1131</v>
      </c>
      <c r="B161" s="64">
        <v>5.0</v>
      </c>
      <c r="C161" s="53" t="s">
        <v>25</v>
      </c>
      <c r="D161" s="374"/>
      <c r="E161" s="389">
        <f t="shared" si="17"/>
        <v>0</v>
      </c>
    </row>
    <row r="162" ht="15.75" customHeight="1">
      <c r="A162" s="63" t="s">
        <v>1132</v>
      </c>
      <c r="B162" s="64">
        <v>5.0</v>
      </c>
      <c r="C162" s="53" t="s">
        <v>25</v>
      </c>
      <c r="D162" s="374"/>
      <c r="E162" s="389">
        <f t="shared" si="17"/>
        <v>0</v>
      </c>
    </row>
    <row r="163" ht="15.75" customHeight="1">
      <c r="A163" s="63" t="s">
        <v>1133</v>
      </c>
      <c r="B163" s="64">
        <v>15.0</v>
      </c>
      <c r="C163" s="53" t="s">
        <v>25</v>
      </c>
      <c r="D163" s="374"/>
      <c r="E163" s="389">
        <f t="shared" si="17"/>
        <v>0</v>
      </c>
    </row>
    <row r="164" ht="15.75" customHeight="1">
      <c r="A164" s="63" t="s">
        <v>1134</v>
      </c>
      <c r="B164" s="64">
        <v>0.1</v>
      </c>
      <c r="C164" s="53" t="s">
        <v>25</v>
      </c>
      <c r="D164" s="374"/>
      <c r="E164" s="389">
        <f t="shared" si="17"/>
        <v>0</v>
      </c>
    </row>
    <row r="165" ht="15.75" customHeight="1">
      <c r="A165" s="63" t="s">
        <v>1135</v>
      </c>
      <c r="B165" s="64"/>
      <c r="C165" s="53" t="s">
        <v>25</v>
      </c>
      <c r="D165" s="374"/>
      <c r="E165" s="389">
        <f t="shared" si="17"/>
        <v>0</v>
      </c>
    </row>
    <row r="166" ht="15.75" customHeight="1">
      <c r="A166" s="63" t="s">
        <v>1136</v>
      </c>
      <c r="B166" s="64"/>
      <c r="C166" s="53" t="s">
        <v>60</v>
      </c>
      <c r="D166" s="374"/>
      <c r="E166" s="389">
        <f t="shared" si="17"/>
        <v>0</v>
      </c>
    </row>
    <row r="167" ht="15.75" customHeight="1">
      <c r="A167" s="132" t="s">
        <v>963</v>
      </c>
      <c r="B167" s="398"/>
      <c r="C167" s="398"/>
      <c r="D167" s="136"/>
      <c r="E167" s="136">
        <f>SUM(E160:E166)</f>
        <v>2.4135</v>
      </c>
    </row>
    <row r="168" ht="15.75" customHeight="1">
      <c r="B168" s="5"/>
      <c r="D168" s="394"/>
    </row>
    <row r="169" ht="15.75" customHeight="1">
      <c r="A169" s="396" t="s">
        <v>828</v>
      </c>
      <c r="B169" s="38"/>
      <c r="C169" s="38"/>
      <c r="D169" s="386" t="s">
        <v>1004</v>
      </c>
      <c r="E169" s="130"/>
    </row>
    <row r="170" ht="15.75" customHeight="1">
      <c r="A170" s="131" t="s">
        <v>12</v>
      </c>
      <c r="B170" s="31" t="s">
        <v>16</v>
      </c>
      <c r="C170" s="31" t="s">
        <v>20</v>
      </c>
      <c r="D170" s="371" t="s">
        <v>1009</v>
      </c>
      <c r="E170" s="33" t="s">
        <v>1011</v>
      </c>
    </row>
    <row r="171" ht="15.75" customHeight="1">
      <c r="A171" s="63" t="s">
        <v>1130</v>
      </c>
      <c r="B171" s="64">
        <v>50.0</v>
      </c>
      <c r="C171" s="53" t="s">
        <v>25</v>
      </c>
      <c r="D171" s="374">
        <v>48.27</v>
      </c>
      <c r="E171" s="389">
        <f t="shared" ref="E171:E176" si="18">D171/1000*B171</f>
        <v>2.4135</v>
      </c>
    </row>
    <row r="172" ht="15.75" customHeight="1">
      <c r="A172" s="63" t="s">
        <v>1137</v>
      </c>
      <c r="B172" s="64">
        <v>40.0</v>
      </c>
      <c r="C172" s="53" t="s">
        <v>25</v>
      </c>
      <c r="D172" s="374"/>
      <c r="E172" s="389">
        <f t="shared" si="18"/>
        <v>0</v>
      </c>
    </row>
    <row r="173" ht="15.75" customHeight="1">
      <c r="A173" s="63" t="s">
        <v>834</v>
      </c>
      <c r="B173" s="64">
        <v>40.0</v>
      </c>
      <c r="C173" s="53" t="s">
        <v>25</v>
      </c>
      <c r="D173" s="374"/>
      <c r="E173" s="389">
        <f t="shared" si="18"/>
        <v>0</v>
      </c>
    </row>
    <row r="174" ht="15.75" customHeight="1">
      <c r="A174" s="63" t="s">
        <v>1138</v>
      </c>
      <c r="B174" s="64">
        <v>15.0</v>
      </c>
      <c r="C174" s="53" t="s">
        <v>25</v>
      </c>
      <c r="D174" s="374"/>
      <c r="E174" s="389">
        <f t="shared" si="18"/>
        <v>0</v>
      </c>
    </row>
    <row r="175" ht="15.75" customHeight="1">
      <c r="A175" s="63" t="s">
        <v>611</v>
      </c>
      <c r="B175" s="64">
        <v>10.0</v>
      </c>
      <c r="C175" s="53" t="s">
        <v>25</v>
      </c>
      <c r="D175" s="374"/>
      <c r="E175" s="389">
        <f t="shared" si="18"/>
        <v>0</v>
      </c>
    </row>
    <row r="176" ht="15.75" customHeight="1">
      <c r="A176" s="63" t="s">
        <v>853</v>
      </c>
      <c r="B176" s="64"/>
      <c r="C176" s="53" t="s">
        <v>25</v>
      </c>
      <c r="D176" s="374"/>
      <c r="E176" s="389">
        <f t="shared" si="18"/>
        <v>0</v>
      </c>
    </row>
    <row r="177" ht="15.75" customHeight="1">
      <c r="A177" s="132" t="s">
        <v>963</v>
      </c>
      <c r="B177" s="133"/>
      <c r="C177" s="134"/>
      <c r="D177" s="136"/>
      <c r="E177" s="136">
        <f>SUM(E171:E176)</f>
        <v>2.4135</v>
      </c>
    </row>
    <row r="178" ht="15.75" customHeight="1">
      <c r="B178" s="5"/>
      <c r="D178" s="394"/>
    </row>
    <row r="179" ht="15.75" customHeight="1">
      <c r="A179" s="396" t="s">
        <v>1139</v>
      </c>
      <c r="B179" s="38"/>
      <c r="C179" s="38"/>
      <c r="D179" s="386" t="s">
        <v>1004</v>
      </c>
      <c r="E179" s="130"/>
    </row>
    <row r="180" ht="15.75" customHeight="1">
      <c r="A180" s="131" t="s">
        <v>12</v>
      </c>
      <c r="B180" s="31" t="s">
        <v>16</v>
      </c>
      <c r="C180" s="31" t="s">
        <v>20</v>
      </c>
      <c r="D180" s="371" t="s">
        <v>1009</v>
      </c>
      <c r="E180" s="33" t="s">
        <v>1011</v>
      </c>
    </row>
    <row r="181" ht="15.75" customHeight="1">
      <c r="A181" s="63" t="s">
        <v>980</v>
      </c>
      <c r="B181" s="64">
        <v>60.0</v>
      </c>
      <c r="C181" s="53" t="s">
        <v>25</v>
      </c>
      <c r="D181" s="374">
        <v>113.2</v>
      </c>
      <c r="E181" s="389">
        <f t="shared" ref="E181:E184" si="19">D181/1000*B181</f>
        <v>6.792</v>
      </c>
    </row>
    <row r="182" ht="15.75" customHeight="1">
      <c r="A182" s="63" t="s">
        <v>1140</v>
      </c>
      <c r="B182" s="64">
        <v>20.0</v>
      </c>
      <c r="C182" s="53" t="s">
        <v>25</v>
      </c>
      <c r="D182" s="374"/>
      <c r="E182" s="389">
        <f t="shared" si="19"/>
        <v>0</v>
      </c>
    </row>
    <row r="183" ht="15.75" customHeight="1">
      <c r="A183" s="63" t="s">
        <v>117</v>
      </c>
      <c r="B183" s="64">
        <v>20.0</v>
      </c>
      <c r="C183" s="53" t="s">
        <v>25</v>
      </c>
      <c r="D183" s="374"/>
      <c r="E183" s="389">
        <f t="shared" si="19"/>
        <v>0</v>
      </c>
    </row>
    <row r="184" ht="15.75" customHeight="1">
      <c r="A184" s="63" t="s">
        <v>1141</v>
      </c>
      <c r="B184" s="64">
        <v>1.0</v>
      </c>
      <c r="C184" s="53" t="s">
        <v>25</v>
      </c>
      <c r="D184" s="374"/>
      <c r="E184" s="389">
        <f t="shared" si="19"/>
        <v>0</v>
      </c>
    </row>
    <row r="185" ht="15.75" customHeight="1">
      <c r="A185" s="132" t="s">
        <v>963</v>
      </c>
      <c r="B185" s="133"/>
      <c r="C185" s="134"/>
      <c r="D185" s="136"/>
      <c r="E185" s="136">
        <f>SUM(E181:E184)</f>
        <v>6.792</v>
      </c>
    </row>
    <row r="186" ht="15.75" customHeight="1">
      <c r="B186" s="5"/>
      <c r="D186" s="394"/>
    </row>
    <row r="187" ht="15.75" customHeight="1">
      <c r="A187" s="396" t="s">
        <v>1142</v>
      </c>
      <c r="B187" s="38"/>
      <c r="C187" s="38"/>
      <c r="D187" s="386" t="s">
        <v>1004</v>
      </c>
      <c r="E187" s="130"/>
    </row>
    <row r="188" ht="15.75" customHeight="1">
      <c r="A188" s="131" t="s">
        <v>12</v>
      </c>
      <c r="B188" s="31" t="s">
        <v>16</v>
      </c>
      <c r="C188" s="31" t="s">
        <v>20</v>
      </c>
      <c r="D188" s="371" t="s">
        <v>1009</v>
      </c>
      <c r="E188" s="33" t="s">
        <v>1011</v>
      </c>
    </row>
    <row r="189" ht="15.75" customHeight="1">
      <c r="A189" s="63" t="s">
        <v>1000</v>
      </c>
      <c r="B189" s="64">
        <v>140.0</v>
      </c>
      <c r="C189" s="53" t="s">
        <v>25</v>
      </c>
      <c r="D189" s="374">
        <v>29.35</v>
      </c>
      <c r="E189" s="374">
        <f t="shared" ref="E189:E192" si="20">D189/1000*B189</f>
        <v>4.109</v>
      </c>
    </row>
    <row r="190" ht="15.75" customHeight="1">
      <c r="A190" s="63" t="s">
        <v>885</v>
      </c>
      <c r="B190" s="64">
        <v>56.0</v>
      </c>
      <c r="C190" s="53" t="s">
        <v>25</v>
      </c>
      <c r="D190" s="374"/>
      <c r="E190" s="389">
        <f t="shared" si="20"/>
        <v>0</v>
      </c>
    </row>
    <row r="191" ht="15.75" customHeight="1">
      <c r="A191" s="63" t="s">
        <v>1143</v>
      </c>
      <c r="B191" s="64">
        <v>26.0</v>
      </c>
      <c r="C191" s="53" t="s">
        <v>25</v>
      </c>
      <c r="D191" s="374"/>
      <c r="E191" s="389">
        <f t="shared" si="20"/>
        <v>0</v>
      </c>
    </row>
    <row r="192" ht="15.75" customHeight="1">
      <c r="A192" s="63" t="s">
        <v>889</v>
      </c>
      <c r="B192" s="64">
        <v>8.0</v>
      </c>
      <c r="C192" s="53" t="s">
        <v>20</v>
      </c>
      <c r="D192" s="374"/>
      <c r="E192" s="389">
        <f t="shared" si="20"/>
        <v>0</v>
      </c>
    </row>
    <row r="193" ht="15.75" customHeight="1">
      <c r="A193" s="132" t="s">
        <v>1011</v>
      </c>
      <c r="B193" s="133"/>
      <c r="C193" s="134"/>
      <c r="D193" s="136"/>
      <c r="E193" s="136">
        <f>SUM(E189:E192)</f>
        <v>4.109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3:C3"/>
    <mergeCell ref="A7:C7"/>
    <mergeCell ref="A15:C15"/>
    <mergeCell ref="A23:C23"/>
    <mergeCell ref="A32:C32"/>
    <mergeCell ref="A40:C40"/>
    <mergeCell ref="A50:C50"/>
    <mergeCell ref="A125:C125"/>
    <mergeCell ref="A133:C133"/>
    <mergeCell ref="A141:C141"/>
    <mergeCell ref="A150:C150"/>
    <mergeCell ref="A158:C158"/>
    <mergeCell ref="A169:C169"/>
    <mergeCell ref="A179:C179"/>
    <mergeCell ref="A187:C187"/>
    <mergeCell ref="A61:C61"/>
    <mergeCell ref="A70:C70"/>
    <mergeCell ref="A77:C77"/>
    <mergeCell ref="A86:C86"/>
    <mergeCell ref="A96:C96"/>
    <mergeCell ref="A107:C107"/>
    <mergeCell ref="A115:C115"/>
  </mergeCells>
  <printOptions/>
  <pageMargins bottom="0.787401575" footer="0.0" header="0.0" left="0.511811024" right="0.511811024" top="0.787401575"/>
  <pageSetup paperSize="9" scale="68" orientation="portrait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9.88"/>
    <col customWidth="1" min="3" max="11" width="12.13"/>
  </cols>
  <sheetData>
    <row r="1" ht="30.0" customHeight="1">
      <c r="A1" s="399"/>
      <c r="B1" s="399"/>
      <c r="C1" s="400" t="s">
        <v>1042</v>
      </c>
      <c r="D1" s="400"/>
      <c r="E1" s="400"/>
      <c r="F1" s="400"/>
      <c r="G1" s="400"/>
      <c r="H1" s="400"/>
      <c r="I1" s="400"/>
      <c r="J1" s="400"/>
      <c r="K1" s="400"/>
    </row>
    <row r="2" ht="30.0" customHeight="1">
      <c r="A2" s="399"/>
      <c r="B2" s="399"/>
      <c r="C2" s="401" t="s">
        <v>1045</v>
      </c>
      <c r="D2" s="401" t="s">
        <v>1046</v>
      </c>
      <c r="E2" s="401" t="s">
        <v>1047</v>
      </c>
      <c r="F2" s="401" t="s">
        <v>1048</v>
      </c>
      <c r="G2" s="401" t="s">
        <v>1049</v>
      </c>
      <c r="H2" s="401" t="s">
        <v>1050</v>
      </c>
      <c r="I2" s="401" t="s">
        <v>1051</v>
      </c>
      <c r="J2" s="401" t="s">
        <v>1052</v>
      </c>
      <c r="K2" s="400" t="s">
        <v>1053</v>
      </c>
    </row>
    <row r="3" ht="30.0" customHeight="1">
      <c r="A3" s="402">
        <v>1.0</v>
      </c>
      <c r="B3" s="403" t="s">
        <v>1054</v>
      </c>
      <c r="C3" s="404" t="s">
        <v>1055</v>
      </c>
      <c r="D3" s="405"/>
      <c r="E3" s="405"/>
      <c r="F3" s="405"/>
      <c r="G3" s="405"/>
      <c r="H3" s="405"/>
      <c r="I3" s="405"/>
      <c r="J3" s="401"/>
      <c r="K3" s="406" t="s">
        <v>1057</v>
      </c>
    </row>
    <row r="4" ht="30.0" customHeight="1">
      <c r="A4" s="402">
        <v>2.0</v>
      </c>
      <c r="B4" s="403" t="s">
        <v>1058</v>
      </c>
      <c r="C4" s="405"/>
      <c r="D4" s="405"/>
      <c r="E4" s="405"/>
      <c r="F4" s="405"/>
      <c r="G4" s="404" t="s">
        <v>1055</v>
      </c>
      <c r="H4" s="405"/>
      <c r="I4" s="405"/>
      <c r="J4" s="401"/>
      <c r="K4" s="407" t="s">
        <v>1059</v>
      </c>
    </row>
    <row r="5" ht="30.0" customHeight="1">
      <c r="A5" s="402">
        <v>3.0</v>
      </c>
      <c r="B5" s="403" t="s">
        <v>1060</v>
      </c>
      <c r="C5" s="405"/>
      <c r="D5" s="404" t="s">
        <v>1055</v>
      </c>
      <c r="E5" s="405"/>
      <c r="F5" s="405"/>
      <c r="G5" s="405"/>
      <c r="H5" s="405"/>
      <c r="I5" s="405"/>
      <c r="J5" s="401"/>
      <c r="K5" s="407" t="s">
        <v>1062</v>
      </c>
    </row>
    <row r="6" ht="30.0" customHeight="1">
      <c r="A6" s="402">
        <v>4.0</v>
      </c>
      <c r="B6" s="403" t="s">
        <v>1063</v>
      </c>
      <c r="C6" s="405"/>
      <c r="D6" s="405"/>
      <c r="E6" s="405"/>
      <c r="F6" s="405"/>
      <c r="G6" s="405"/>
      <c r="H6" s="405"/>
      <c r="I6" s="405"/>
      <c r="J6" s="408" t="s">
        <v>1055</v>
      </c>
      <c r="K6" s="407" t="s">
        <v>1064</v>
      </c>
    </row>
    <row r="7" ht="30.0" customHeight="1">
      <c r="A7" s="402">
        <v>5.0</v>
      </c>
      <c r="B7" s="403" t="s">
        <v>1065</v>
      </c>
      <c r="C7" s="405"/>
      <c r="D7" s="405"/>
      <c r="E7" s="405"/>
      <c r="F7" s="405"/>
      <c r="G7" s="405"/>
      <c r="H7" s="404" t="s">
        <v>1055</v>
      </c>
      <c r="I7" s="405"/>
      <c r="J7" s="401"/>
      <c r="K7" s="407" t="s">
        <v>1066</v>
      </c>
    </row>
    <row r="8" ht="30.0" customHeight="1">
      <c r="A8" s="402">
        <v>6.0</v>
      </c>
      <c r="B8" s="403" t="s">
        <v>1067</v>
      </c>
      <c r="C8" s="404" t="s">
        <v>1055</v>
      </c>
      <c r="D8" s="405"/>
      <c r="E8" s="405"/>
      <c r="F8" s="405"/>
      <c r="G8" s="405"/>
      <c r="H8" s="405"/>
      <c r="I8" s="405"/>
      <c r="J8" s="401"/>
      <c r="K8" s="407" t="s">
        <v>1068</v>
      </c>
    </row>
    <row r="9" ht="30.0" customHeight="1">
      <c r="A9" s="402">
        <v>7.0</v>
      </c>
      <c r="B9" s="403" t="s">
        <v>1069</v>
      </c>
      <c r="C9" s="405"/>
      <c r="D9" s="405"/>
      <c r="E9" s="405"/>
      <c r="F9" s="405"/>
      <c r="G9" s="405"/>
      <c r="H9" s="405"/>
      <c r="I9" s="404" t="s">
        <v>1055</v>
      </c>
      <c r="J9" s="401"/>
      <c r="K9" s="407" t="s">
        <v>1070</v>
      </c>
    </row>
    <row r="10" ht="30.0" customHeight="1">
      <c r="A10" s="402">
        <v>8.0</v>
      </c>
      <c r="B10" s="403" t="s">
        <v>1071</v>
      </c>
      <c r="C10" s="405"/>
      <c r="D10" s="405"/>
      <c r="E10" s="405"/>
      <c r="F10" s="405"/>
      <c r="G10" s="404" t="s">
        <v>1055</v>
      </c>
      <c r="H10" s="405"/>
      <c r="I10" s="405"/>
      <c r="J10" s="401"/>
      <c r="K10" s="407" t="s">
        <v>1072</v>
      </c>
    </row>
    <row r="11" ht="30.0" customHeight="1">
      <c r="A11" s="402">
        <v>9.0</v>
      </c>
      <c r="B11" s="403" t="s">
        <v>1074</v>
      </c>
      <c r="C11" s="405"/>
      <c r="D11" s="405"/>
      <c r="E11" s="405"/>
      <c r="F11" s="405"/>
      <c r="G11" s="404" t="s">
        <v>1055</v>
      </c>
      <c r="H11" s="405"/>
      <c r="I11" s="405"/>
      <c r="J11" s="401"/>
      <c r="K11" s="407" t="s">
        <v>1072</v>
      </c>
    </row>
    <row r="12" ht="30.0" customHeight="1">
      <c r="A12" s="402">
        <v>10.0</v>
      </c>
      <c r="B12" s="409" t="s">
        <v>1075</v>
      </c>
      <c r="C12" s="405"/>
      <c r="D12" s="405"/>
      <c r="E12" s="405"/>
      <c r="F12" s="404" t="s">
        <v>1055</v>
      </c>
      <c r="G12" s="405"/>
      <c r="H12" s="405"/>
      <c r="I12" s="405"/>
      <c r="J12" s="401"/>
      <c r="K12" s="407" t="s">
        <v>1076</v>
      </c>
    </row>
    <row r="13" ht="30.0" customHeight="1">
      <c r="A13" s="402">
        <v>11.0</v>
      </c>
      <c r="B13" s="403" t="s">
        <v>1077</v>
      </c>
      <c r="C13" s="405"/>
      <c r="D13" s="405"/>
      <c r="E13" s="405"/>
      <c r="F13" s="405"/>
      <c r="G13" s="405"/>
      <c r="H13" s="404" t="s">
        <v>1055</v>
      </c>
      <c r="I13" s="405"/>
      <c r="J13" s="401"/>
      <c r="K13" s="407" t="s">
        <v>1066</v>
      </c>
    </row>
    <row r="14" ht="30.0" customHeight="1">
      <c r="A14" s="402">
        <v>12.0</v>
      </c>
      <c r="B14" s="403" t="s">
        <v>1079</v>
      </c>
      <c r="C14" s="405"/>
      <c r="D14" s="405"/>
      <c r="E14" s="405"/>
      <c r="F14" s="404" t="s">
        <v>1055</v>
      </c>
      <c r="G14" s="405"/>
      <c r="H14" s="405"/>
      <c r="I14" s="405"/>
      <c r="J14" s="401"/>
      <c r="K14" s="407" t="s">
        <v>1076</v>
      </c>
    </row>
    <row r="15" ht="30.0" customHeight="1">
      <c r="A15" s="402">
        <v>13.0</v>
      </c>
      <c r="B15" s="403" t="s">
        <v>1081</v>
      </c>
      <c r="C15" s="404" t="s">
        <v>1055</v>
      </c>
      <c r="D15" s="405"/>
      <c r="E15" s="405"/>
      <c r="F15" s="405"/>
      <c r="G15" s="405"/>
      <c r="H15" s="405"/>
      <c r="I15" s="405"/>
      <c r="J15" s="401"/>
      <c r="K15" s="407" t="s">
        <v>1082</v>
      </c>
    </row>
    <row r="16" ht="30.0" customHeight="1">
      <c r="A16" s="402">
        <v>14.0</v>
      </c>
      <c r="B16" s="403" t="s">
        <v>1084</v>
      </c>
      <c r="C16" s="405"/>
      <c r="D16" s="404" t="s">
        <v>1055</v>
      </c>
      <c r="E16" s="405"/>
      <c r="F16" s="405"/>
      <c r="G16" s="405"/>
      <c r="H16" s="405"/>
      <c r="I16" s="405"/>
      <c r="J16" s="401"/>
      <c r="K16" s="407" t="s">
        <v>1085</v>
      </c>
    </row>
    <row r="17" ht="30.0" customHeight="1">
      <c r="A17" s="402">
        <v>15.0</v>
      </c>
      <c r="B17" s="403" t="s">
        <v>1086</v>
      </c>
      <c r="C17" s="405"/>
      <c r="D17" s="405"/>
      <c r="E17" s="405"/>
      <c r="F17" s="405"/>
      <c r="G17" s="405"/>
      <c r="H17" s="405"/>
      <c r="I17" s="405"/>
      <c r="J17" s="408" t="s">
        <v>1055</v>
      </c>
      <c r="K17" s="407" t="s">
        <v>1088</v>
      </c>
    </row>
    <row r="18" ht="30.0" customHeight="1">
      <c r="A18" s="402">
        <v>16.0</v>
      </c>
      <c r="B18" s="403" t="s">
        <v>1089</v>
      </c>
      <c r="C18" s="405"/>
      <c r="D18" s="405"/>
      <c r="E18" s="405"/>
      <c r="F18" s="405"/>
      <c r="G18" s="405"/>
      <c r="H18" s="405"/>
      <c r="I18" s="405"/>
      <c r="J18" s="408" t="s">
        <v>1055</v>
      </c>
      <c r="K18" s="407" t="s">
        <v>1088</v>
      </c>
    </row>
    <row r="19" ht="30.0" customHeight="1">
      <c r="A19" s="402">
        <v>17.0</v>
      </c>
      <c r="B19" s="403" t="s">
        <v>1091</v>
      </c>
      <c r="C19" s="405"/>
      <c r="D19" s="405"/>
      <c r="E19" s="404" t="s">
        <v>1055</v>
      </c>
      <c r="F19" s="405"/>
      <c r="G19" s="405"/>
      <c r="H19" s="405"/>
      <c r="I19" s="405"/>
      <c r="J19" s="401"/>
      <c r="K19" s="407" t="s">
        <v>1092</v>
      </c>
    </row>
    <row r="20" ht="30.0" customHeight="1">
      <c r="A20" s="402">
        <v>18.0</v>
      </c>
      <c r="B20" s="403" t="s">
        <v>1093</v>
      </c>
      <c r="C20" s="405"/>
      <c r="D20" s="404" t="s">
        <v>1055</v>
      </c>
      <c r="E20" s="405"/>
      <c r="F20" s="405"/>
      <c r="G20" s="405"/>
      <c r="H20" s="405"/>
      <c r="I20" s="405"/>
      <c r="J20" s="401"/>
      <c r="K20" s="407" t="s">
        <v>1085</v>
      </c>
    </row>
    <row r="21" ht="30.0" customHeight="1">
      <c r="A21" s="402">
        <v>19.0</v>
      </c>
      <c r="B21" s="403" t="s">
        <v>1095</v>
      </c>
      <c r="C21" s="405"/>
      <c r="D21" s="404" t="s">
        <v>1055</v>
      </c>
      <c r="E21" s="405"/>
      <c r="F21" s="405"/>
      <c r="G21" s="405"/>
      <c r="H21" s="405"/>
      <c r="I21" s="405"/>
      <c r="J21" s="401"/>
      <c r="K21" s="407" t="s">
        <v>1085</v>
      </c>
    </row>
    <row r="22" ht="30.0" customHeight="1">
      <c r="A22" s="402">
        <v>20.0</v>
      </c>
      <c r="B22" s="403" t="s">
        <v>1097</v>
      </c>
      <c r="C22" s="410" t="s">
        <v>1098</v>
      </c>
      <c r="D22" s="404" t="s">
        <v>1055</v>
      </c>
      <c r="E22" s="405"/>
      <c r="F22" s="405"/>
      <c r="G22" s="405"/>
      <c r="H22" s="405"/>
      <c r="I22" s="405"/>
      <c r="J22" s="401"/>
      <c r="K22" s="407" t="s">
        <v>1062</v>
      </c>
    </row>
    <row r="23" ht="30.0" customHeight="1">
      <c r="A23" s="402">
        <v>21.0</v>
      </c>
      <c r="B23" s="403" t="s">
        <v>1100</v>
      </c>
      <c r="C23" s="405"/>
      <c r="D23" s="405"/>
      <c r="E23" s="405"/>
      <c r="F23" s="405"/>
      <c r="G23" s="404" t="s">
        <v>1055</v>
      </c>
      <c r="H23" s="405"/>
      <c r="I23" s="405"/>
      <c r="J23" s="401"/>
      <c r="K23" s="407" t="s">
        <v>1072</v>
      </c>
    </row>
    <row r="24" ht="30.0" customHeight="1">
      <c r="A24" s="399"/>
      <c r="B24" s="403"/>
      <c r="C24" s="411">
        <v>4.0</v>
      </c>
      <c r="D24" s="411">
        <v>5.0</v>
      </c>
      <c r="E24" s="411">
        <v>1.0</v>
      </c>
      <c r="F24" s="411">
        <v>3.0</v>
      </c>
      <c r="G24" s="411">
        <v>4.0</v>
      </c>
      <c r="H24" s="411">
        <v>2.0</v>
      </c>
      <c r="I24" s="411">
        <v>1.0</v>
      </c>
      <c r="J24" s="411">
        <v>3.0</v>
      </c>
      <c r="K24" s="400"/>
    </row>
    <row r="25" ht="30.0" customHeight="1">
      <c r="A25" s="399"/>
      <c r="B25" s="403"/>
      <c r="C25" s="412">
        <v>0.19</v>
      </c>
      <c r="D25" s="412">
        <v>0.24</v>
      </c>
      <c r="E25" s="412">
        <v>0.05</v>
      </c>
      <c r="F25" s="412">
        <v>0.14</v>
      </c>
      <c r="G25" s="412">
        <v>0.19</v>
      </c>
      <c r="H25" s="412">
        <v>0.1</v>
      </c>
      <c r="I25" s="412">
        <v>0.05</v>
      </c>
      <c r="J25" s="412">
        <v>0.14</v>
      </c>
      <c r="K25" s="400"/>
    </row>
    <row r="26" ht="30.0" customHeight="1">
      <c r="C26" s="5"/>
      <c r="D26" s="5"/>
      <c r="E26" s="5"/>
      <c r="F26" s="5"/>
      <c r="G26" s="5"/>
      <c r="H26" s="5"/>
      <c r="I26" s="5"/>
      <c r="J26" s="5"/>
      <c r="K26" s="5"/>
    </row>
    <row r="27" ht="30.0" customHeight="1">
      <c r="C27" s="5"/>
      <c r="D27" s="5"/>
      <c r="E27" s="5"/>
      <c r="F27" s="5"/>
      <c r="G27" s="5"/>
      <c r="H27" s="5"/>
      <c r="I27" s="5"/>
      <c r="J27" s="5"/>
      <c r="K27" s="5"/>
    </row>
    <row r="28" ht="30.0" customHeight="1">
      <c r="C28" s="5"/>
      <c r="D28" s="5"/>
      <c r="E28" s="5"/>
      <c r="F28" s="5"/>
      <c r="G28" s="5"/>
      <c r="H28" s="5"/>
      <c r="I28" s="5"/>
      <c r="J28" s="5"/>
      <c r="K28" s="5"/>
    </row>
    <row r="29" ht="30.0" customHeight="1">
      <c r="C29" s="5"/>
      <c r="D29" s="5"/>
      <c r="E29" s="5"/>
      <c r="F29" s="5"/>
      <c r="G29" s="5"/>
      <c r="H29" s="5"/>
      <c r="I29" s="5"/>
      <c r="J29" s="5"/>
      <c r="K29" s="5"/>
    </row>
    <row r="30" ht="30.0" customHeight="1">
      <c r="C30" s="5"/>
      <c r="D30" s="5"/>
      <c r="E30" s="5"/>
      <c r="F30" s="5"/>
      <c r="G30" s="5"/>
      <c r="H30" s="5"/>
      <c r="I30" s="5"/>
      <c r="J30" s="5"/>
      <c r="K30" s="5"/>
    </row>
    <row r="31" ht="30.0" customHeight="1">
      <c r="C31" s="5"/>
      <c r="D31" s="5"/>
      <c r="E31" s="5"/>
      <c r="F31" s="5"/>
      <c r="G31" s="5"/>
      <c r="H31" s="5"/>
      <c r="I31" s="5"/>
      <c r="J31" s="5"/>
      <c r="K31" s="5"/>
    </row>
    <row r="32" ht="30.0" customHeight="1">
      <c r="C32" s="5"/>
      <c r="D32" s="5"/>
      <c r="E32" s="5"/>
      <c r="F32" s="5"/>
      <c r="G32" s="5"/>
      <c r="H32" s="5"/>
      <c r="I32" s="5"/>
      <c r="J32" s="5"/>
      <c r="K32" s="5"/>
    </row>
    <row r="33" ht="30.0" customHeight="1">
      <c r="C33" s="5"/>
      <c r="D33" s="5"/>
      <c r="E33" s="5"/>
      <c r="F33" s="5"/>
      <c r="G33" s="5"/>
      <c r="H33" s="5"/>
      <c r="I33" s="5"/>
      <c r="J33" s="5"/>
      <c r="K33" s="5"/>
    </row>
    <row r="34" ht="30.0" customHeight="1">
      <c r="C34" s="5"/>
      <c r="D34" s="5"/>
      <c r="E34" s="5"/>
      <c r="F34" s="5"/>
      <c r="G34" s="5"/>
      <c r="H34" s="5"/>
      <c r="I34" s="5"/>
      <c r="J34" s="5"/>
      <c r="K34" s="5"/>
    </row>
    <row r="35" ht="30.0" customHeight="1">
      <c r="C35" s="5"/>
      <c r="D35" s="5"/>
      <c r="E35" s="5"/>
      <c r="F35" s="5"/>
      <c r="G35" s="5"/>
      <c r="H35" s="5"/>
      <c r="I35" s="5"/>
      <c r="J35" s="5"/>
      <c r="K35" s="5"/>
    </row>
    <row r="36" ht="30.0" customHeight="1">
      <c r="C36" s="5"/>
      <c r="D36" s="5"/>
      <c r="E36" s="5"/>
      <c r="F36" s="5"/>
      <c r="G36" s="5"/>
      <c r="H36" s="5"/>
      <c r="I36" s="5"/>
      <c r="J36" s="5"/>
      <c r="K36" s="5"/>
    </row>
    <row r="37" ht="30.0" customHeight="1">
      <c r="C37" s="5"/>
      <c r="D37" s="5"/>
      <c r="E37" s="5"/>
      <c r="F37" s="5"/>
      <c r="G37" s="5"/>
      <c r="H37" s="5"/>
      <c r="I37" s="5"/>
      <c r="J37" s="5"/>
      <c r="K37" s="5"/>
    </row>
    <row r="38" ht="30.0" customHeight="1">
      <c r="C38" s="5"/>
      <c r="D38" s="5"/>
      <c r="E38" s="5"/>
      <c r="F38" s="5"/>
      <c r="G38" s="5"/>
      <c r="H38" s="5"/>
      <c r="I38" s="5"/>
      <c r="J38" s="5"/>
      <c r="K38" s="5"/>
    </row>
    <row r="39" ht="30.0" customHeight="1">
      <c r="C39" s="5"/>
      <c r="D39" s="5"/>
      <c r="E39" s="5"/>
      <c r="F39" s="5"/>
      <c r="G39" s="5"/>
      <c r="H39" s="5"/>
      <c r="I39" s="5"/>
      <c r="J39" s="5"/>
      <c r="K39" s="5"/>
    </row>
    <row r="40" ht="30.0" customHeight="1">
      <c r="C40" s="5"/>
      <c r="D40" s="5"/>
      <c r="E40" s="5"/>
      <c r="F40" s="5"/>
      <c r="G40" s="5"/>
      <c r="H40" s="5"/>
      <c r="I40" s="5"/>
      <c r="J40" s="5"/>
      <c r="K40" s="5"/>
    </row>
    <row r="41" ht="30.0" customHeight="1">
      <c r="C41" s="5"/>
      <c r="D41" s="5"/>
      <c r="E41" s="5"/>
      <c r="F41" s="5"/>
      <c r="G41" s="5"/>
      <c r="H41" s="5"/>
      <c r="I41" s="5"/>
      <c r="J41" s="5"/>
      <c r="K41" s="5"/>
    </row>
    <row r="42" ht="30.0" customHeight="1">
      <c r="C42" s="5"/>
      <c r="D42" s="5"/>
      <c r="E42" s="5"/>
      <c r="F42" s="5"/>
      <c r="G42" s="5"/>
      <c r="H42" s="5"/>
      <c r="I42" s="5"/>
      <c r="J42" s="5"/>
      <c r="K42" s="5"/>
    </row>
    <row r="43" ht="30.0" customHeight="1">
      <c r="C43" s="5"/>
      <c r="D43" s="5"/>
      <c r="E43" s="5"/>
      <c r="F43" s="5"/>
      <c r="G43" s="5"/>
      <c r="H43" s="5"/>
      <c r="I43" s="5"/>
      <c r="J43" s="5"/>
      <c r="K43" s="5"/>
    </row>
    <row r="44" ht="30.0" customHeight="1">
      <c r="C44" s="5"/>
      <c r="D44" s="5"/>
      <c r="E44" s="5"/>
      <c r="F44" s="5"/>
      <c r="G44" s="5"/>
      <c r="H44" s="5"/>
      <c r="I44" s="5"/>
      <c r="J44" s="5"/>
      <c r="K44" s="5"/>
    </row>
    <row r="45" ht="30.0" customHeight="1">
      <c r="C45" s="5"/>
      <c r="D45" s="5"/>
      <c r="E45" s="5"/>
      <c r="F45" s="5"/>
      <c r="G45" s="5"/>
      <c r="H45" s="5"/>
      <c r="I45" s="5"/>
      <c r="J45" s="5"/>
      <c r="K45" s="5"/>
    </row>
    <row r="46" ht="30.0" customHeight="1">
      <c r="C46" s="5"/>
      <c r="D46" s="5"/>
      <c r="E46" s="5"/>
      <c r="F46" s="5"/>
      <c r="G46" s="5"/>
      <c r="H46" s="5"/>
      <c r="I46" s="5"/>
      <c r="J46" s="5"/>
      <c r="K46" s="5"/>
    </row>
    <row r="47" ht="30.0" customHeight="1">
      <c r="C47" s="5"/>
      <c r="D47" s="5"/>
      <c r="E47" s="5"/>
      <c r="F47" s="5"/>
      <c r="G47" s="5"/>
      <c r="H47" s="5"/>
      <c r="I47" s="5"/>
      <c r="J47" s="5"/>
      <c r="K47" s="5"/>
    </row>
    <row r="48" ht="30.0" customHeight="1">
      <c r="C48" s="5"/>
      <c r="D48" s="5"/>
      <c r="E48" s="5"/>
      <c r="F48" s="5"/>
      <c r="G48" s="5"/>
      <c r="H48" s="5"/>
      <c r="I48" s="5"/>
      <c r="J48" s="5"/>
      <c r="K48" s="5"/>
    </row>
    <row r="49" ht="30.0" customHeight="1">
      <c r="C49" s="5"/>
      <c r="D49" s="5"/>
      <c r="E49" s="5"/>
      <c r="F49" s="5"/>
      <c r="G49" s="5"/>
      <c r="H49" s="5"/>
      <c r="I49" s="5"/>
      <c r="J49" s="5"/>
      <c r="K49" s="5"/>
    </row>
    <row r="50" ht="30.0" customHeight="1">
      <c r="C50" s="5"/>
      <c r="D50" s="5"/>
      <c r="E50" s="5"/>
      <c r="F50" s="5"/>
      <c r="G50" s="5"/>
      <c r="H50" s="5"/>
      <c r="I50" s="5"/>
      <c r="J50" s="5"/>
      <c r="K50" s="5"/>
    </row>
    <row r="51" ht="30.0" customHeight="1">
      <c r="C51" s="5"/>
      <c r="D51" s="5"/>
      <c r="E51" s="5"/>
      <c r="F51" s="5"/>
      <c r="G51" s="5"/>
      <c r="H51" s="5"/>
      <c r="I51" s="5"/>
      <c r="J51" s="5"/>
      <c r="K51" s="5"/>
    </row>
    <row r="52" ht="30.0" customHeight="1">
      <c r="C52" s="5"/>
      <c r="D52" s="5"/>
      <c r="E52" s="5"/>
      <c r="F52" s="5"/>
      <c r="G52" s="5"/>
      <c r="H52" s="5"/>
      <c r="I52" s="5"/>
      <c r="J52" s="5"/>
      <c r="K52" s="5"/>
    </row>
    <row r="53" ht="30.0" customHeight="1">
      <c r="C53" s="5"/>
      <c r="D53" s="5"/>
      <c r="E53" s="5"/>
      <c r="F53" s="5"/>
      <c r="G53" s="5"/>
      <c r="H53" s="5"/>
      <c r="I53" s="5"/>
      <c r="J53" s="5"/>
      <c r="K53" s="5"/>
    </row>
    <row r="54" ht="30.0" customHeight="1">
      <c r="C54" s="5"/>
      <c r="D54" s="5"/>
      <c r="E54" s="5"/>
      <c r="F54" s="5"/>
      <c r="G54" s="5"/>
      <c r="H54" s="5"/>
      <c r="I54" s="5"/>
      <c r="J54" s="5"/>
      <c r="K54" s="5"/>
    </row>
    <row r="55" ht="30.0" customHeight="1">
      <c r="C55" s="5"/>
      <c r="D55" s="5"/>
      <c r="E55" s="5"/>
      <c r="F55" s="5"/>
      <c r="G55" s="5"/>
      <c r="H55" s="5"/>
      <c r="I55" s="5"/>
      <c r="J55" s="5"/>
      <c r="K55" s="5"/>
    </row>
    <row r="56" ht="30.0" customHeight="1">
      <c r="C56" s="5"/>
      <c r="D56" s="5"/>
      <c r="E56" s="5"/>
      <c r="F56" s="5"/>
      <c r="G56" s="5"/>
      <c r="H56" s="5"/>
      <c r="I56" s="5"/>
      <c r="J56" s="5"/>
      <c r="K56" s="5"/>
    </row>
    <row r="57" ht="30.0" customHeight="1">
      <c r="C57" s="5"/>
      <c r="D57" s="5"/>
      <c r="E57" s="5"/>
      <c r="F57" s="5"/>
      <c r="G57" s="5"/>
      <c r="H57" s="5"/>
      <c r="I57" s="5"/>
      <c r="J57" s="5"/>
      <c r="K57" s="5"/>
    </row>
    <row r="58" ht="30.0" customHeight="1">
      <c r="C58" s="5"/>
      <c r="D58" s="5"/>
      <c r="E58" s="5"/>
      <c r="F58" s="5"/>
      <c r="G58" s="5"/>
      <c r="H58" s="5"/>
      <c r="I58" s="5"/>
      <c r="J58" s="5"/>
      <c r="K58" s="5"/>
    </row>
    <row r="59" ht="30.0" customHeight="1">
      <c r="C59" s="5"/>
      <c r="D59" s="5"/>
      <c r="E59" s="5"/>
      <c r="F59" s="5"/>
      <c r="G59" s="5"/>
      <c r="H59" s="5"/>
      <c r="I59" s="5"/>
      <c r="J59" s="5"/>
      <c r="K59" s="5"/>
    </row>
    <row r="60" ht="30.0" customHeight="1">
      <c r="C60" s="5"/>
      <c r="D60" s="5"/>
      <c r="E60" s="5"/>
      <c r="F60" s="5"/>
      <c r="G60" s="5"/>
      <c r="H60" s="5"/>
      <c r="I60" s="5"/>
      <c r="J60" s="5"/>
      <c r="K60" s="5"/>
    </row>
    <row r="61" ht="30.0" customHeight="1">
      <c r="C61" s="5"/>
      <c r="D61" s="5"/>
      <c r="E61" s="5"/>
      <c r="F61" s="5"/>
      <c r="G61" s="5"/>
      <c r="H61" s="5"/>
      <c r="I61" s="5"/>
      <c r="J61" s="5"/>
      <c r="K61" s="5"/>
    </row>
    <row r="62" ht="30.0" customHeight="1">
      <c r="C62" s="5"/>
      <c r="D62" s="5"/>
      <c r="E62" s="5"/>
      <c r="F62" s="5"/>
      <c r="G62" s="5"/>
      <c r="H62" s="5"/>
      <c r="I62" s="5"/>
      <c r="J62" s="5"/>
      <c r="K62" s="5"/>
    </row>
    <row r="63" ht="30.0" customHeight="1">
      <c r="C63" s="5"/>
      <c r="D63" s="5"/>
      <c r="E63" s="5"/>
      <c r="F63" s="5"/>
      <c r="G63" s="5"/>
      <c r="H63" s="5"/>
      <c r="I63" s="5"/>
      <c r="J63" s="5"/>
      <c r="K63" s="5"/>
    </row>
    <row r="64" ht="30.0" customHeight="1">
      <c r="C64" s="5"/>
      <c r="D64" s="5"/>
      <c r="E64" s="5"/>
      <c r="F64" s="5"/>
      <c r="G64" s="5"/>
      <c r="H64" s="5"/>
      <c r="I64" s="5"/>
      <c r="J64" s="5"/>
      <c r="K64" s="5"/>
    </row>
    <row r="65" ht="30.0" customHeight="1">
      <c r="C65" s="5"/>
      <c r="D65" s="5"/>
      <c r="E65" s="5"/>
      <c r="F65" s="5"/>
      <c r="G65" s="5"/>
      <c r="H65" s="5"/>
      <c r="I65" s="5"/>
      <c r="J65" s="5"/>
      <c r="K65" s="5"/>
    </row>
    <row r="66" ht="30.0" customHeight="1">
      <c r="C66" s="5"/>
      <c r="D66" s="5"/>
      <c r="E66" s="5"/>
      <c r="F66" s="5"/>
      <c r="G66" s="5"/>
      <c r="H66" s="5"/>
      <c r="I66" s="5"/>
      <c r="J66" s="5"/>
      <c r="K66" s="5"/>
    </row>
    <row r="67" ht="30.0" customHeight="1">
      <c r="C67" s="5"/>
      <c r="D67" s="5"/>
      <c r="E67" s="5"/>
      <c r="F67" s="5"/>
      <c r="G67" s="5"/>
      <c r="H67" s="5"/>
      <c r="I67" s="5"/>
      <c r="J67" s="5"/>
      <c r="K67" s="5"/>
    </row>
    <row r="68" ht="30.0" customHeight="1">
      <c r="C68" s="5"/>
      <c r="D68" s="5"/>
      <c r="E68" s="5"/>
      <c r="F68" s="5"/>
      <c r="G68" s="5"/>
      <c r="H68" s="5"/>
      <c r="I68" s="5"/>
      <c r="J68" s="5"/>
      <c r="K68" s="5"/>
    </row>
    <row r="69" ht="30.0" customHeight="1">
      <c r="C69" s="5"/>
      <c r="D69" s="5"/>
      <c r="E69" s="5"/>
      <c r="F69" s="5"/>
      <c r="G69" s="5"/>
      <c r="H69" s="5"/>
      <c r="I69" s="5"/>
      <c r="J69" s="5"/>
      <c r="K69" s="5"/>
    </row>
    <row r="70" ht="30.0" customHeight="1">
      <c r="C70" s="5"/>
      <c r="D70" s="5"/>
      <c r="E70" s="5"/>
      <c r="F70" s="5"/>
      <c r="G70" s="5"/>
      <c r="H70" s="5"/>
      <c r="I70" s="5"/>
      <c r="J70" s="5"/>
      <c r="K70" s="5"/>
    </row>
    <row r="71" ht="30.0" customHeight="1">
      <c r="C71" s="5"/>
      <c r="D71" s="5"/>
      <c r="E71" s="5"/>
      <c r="F71" s="5"/>
      <c r="G71" s="5"/>
      <c r="H71" s="5"/>
      <c r="I71" s="5"/>
      <c r="J71" s="5"/>
      <c r="K71" s="5"/>
    </row>
    <row r="72" ht="30.0" customHeight="1">
      <c r="C72" s="5"/>
      <c r="D72" s="5"/>
      <c r="E72" s="5"/>
      <c r="F72" s="5"/>
      <c r="G72" s="5"/>
      <c r="H72" s="5"/>
      <c r="I72" s="5"/>
      <c r="J72" s="5"/>
      <c r="K72" s="5"/>
    </row>
    <row r="73" ht="30.0" customHeight="1">
      <c r="C73" s="5"/>
      <c r="D73" s="5"/>
      <c r="E73" s="5"/>
      <c r="F73" s="5"/>
      <c r="G73" s="5"/>
      <c r="H73" s="5"/>
      <c r="I73" s="5"/>
      <c r="J73" s="5"/>
      <c r="K73" s="5"/>
    </row>
    <row r="74" ht="30.0" customHeight="1">
      <c r="C74" s="5"/>
      <c r="D74" s="5"/>
      <c r="E74" s="5"/>
      <c r="F74" s="5"/>
      <c r="G74" s="5"/>
      <c r="H74" s="5"/>
      <c r="I74" s="5"/>
      <c r="J74" s="5"/>
      <c r="K74" s="5"/>
    </row>
    <row r="75" ht="30.0" customHeight="1">
      <c r="C75" s="5"/>
      <c r="D75" s="5"/>
      <c r="E75" s="5"/>
      <c r="F75" s="5"/>
      <c r="G75" s="5"/>
      <c r="H75" s="5"/>
      <c r="I75" s="5"/>
      <c r="J75" s="5"/>
      <c r="K75" s="5"/>
    </row>
    <row r="76" ht="30.0" customHeight="1">
      <c r="C76" s="5"/>
      <c r="D76" s="5"/>
      <c r="E76" s="5"/>
      <c r="F76" s="5"/>
      <c r="G76" s="5"/>
      <c r="H76" s="5"/>
      <c r="I76" s="5"/>
      <c r="J76" s="5"/>
      <c r="K76" s="5"/>
    </row>
    <row r="77" ht="30.0" customHeight="1">
      <c r="C77" s="5"/>
      <c r="D77" s="5"/>
      <c r="E77" s="5"/>
      <c r="F77" s="5"/>
      <c r="G77" s="5"/>
      <c r="H77" s="5"/>
      <c r="I77" s="5"/>
      <c r="J77" s="5"/>
      <c r="K77" s="5"/>
    </row>
    <row r="78" ht="30.0" customHeight="1">
      <c r="C78" s="5"/>
      <c r="D78" s="5"/>
      <c r="E78" s="5"/>
      <c r="F78" s="5"/>
      <c r="G78" s="5"/>
      <c r="H78" s="5"/>
      <c r="I78" s="5"/>
      <c r="J78" s="5"/>
      <c r="K78" s="5"/>
    </row>
    <row r="79" ht="30.0" customHeight="1">
      <c r="C79" s="5"/>
      <c r="D79" s="5"/>
      <c r="E79" s="5"/>
      <c r="F79" s="5"/>
      <c r="G79" s="5"/>
      <c r="H79" s="5"/>
      <c r="I79" s="5"/>
      <c r="J79" s="5"/>
      <c r="K79" s="5"/>
    </row>
    <row r="80" ht="30.0" customHeight="1">
      <c r="C80" s="5"/>
      <c r="D80" s="5"/>
      <c r="E80" s="5"/>
      <c r="F80" s="5"/>
      <c r="G80" s="5"/>
      <c r="H80" s="5"/>
      <c r="I80" s="5"/>
      <c r="J80" s="5"/>
      <c r="K80" s="5"/>
    </row>
    <row r="81" ht="30.0" customHeight="1">
      <c r="C81" s="5"/>
      <c r="D81" s="5"/>
      <c r="E81" s="5"/>
      <c r="F81" s="5"/>
      <c r="G81" s="5"/>
      <c r="H81" s="5"/>
      <c r="I81" s="5"/>
      <c r="J81" s="5"/>
      <c r="K81" s="5"/>
    </row>
    <row r="82" ht="30.0" customHeight="1">
      <c r="C82" s="5"/>
      <c r="D82" s="5"/>
      <c r="E82" s="5"/>
      <c r="F82" s="5"/>
      <c r="G82" s="5"/>
      <c r="H82" s="5"/>
      <c r="I82" s="5"/>
      <c r="J82" s="5"/>
      <c r="K82" s="5"/>
    </row>
    <row r="83" ht="30.0" customHeight="1">
      <c r="C83" s="5"/>
      <c r="D83" s="5"/>
      <c r="E83" s="5"/>
      <c r="F83" s="5"/>
      <c r="G83" s="5"/>
      <c r="H83" s="5"/>
      <c r="I83" s="5"/>
      <c r="J83" s="5"/>
      <c r="K83" s="5"/>
    </row>
    <row r="84" ht="30.0" customHeight="1">
      <c r="C84" s="5"/>
      <c r="D84" s="5"/>
      <c r="E84" s="5"/>
      <c r="F84" s="5"/>
      <c r="G84" s="5"/>
      <c r="H84" s="5"/>
      <c r="I84" s="5"/>
      <c r="J84" s="5"/>
      <c r="K84" s="5"/>
    </row>
    <row r="85" ht="30.0" customHeight="1">
      <c r="C85" s="5"/>
      <c r="D85" s="5"/>
      <c r="E85" s="5"/>
      <c r="F85" s="5"/>
      <c r="G85" s="5"/>
      <c r="H85" s="5"/>
      <c r="I85" s="5"/>
      <c r="J85" s="5"/>
      <c r="K85" s="5"/>
    </row>
    <row r="86" ht="30.0" customHeight="1">
      <c r="C86" s="5"/>
      <c r="D86" s="5"/>
      <c r="E86" s="5"/>
      <c r="F86" s="5"/>
      <c r="G86" s="5"/>
      <c r="H86" s="5"/>
      <c r="I86" s="5"/>
      <c r="J86" s="5"/>
      <c r="K86" s="5"/>
    </row>
    <row r="87" ht="30.0" customHeight="1">
      <c r="C87" s="5"/>
      <c r="D87" s="5"/>
      <c r="E87" s="5"/>
      <c r="F87" s="5"/>
      <c r="G87" s="5"/>
      <c r="H87" s="5"/>
      <c r="I87" s="5"/>
      <c r="J87" s="5"/>
      <c r="K87" s="5"/>
    </row>
    <row r="88" ht="30.0" customHeight="1">
      <c r="C88" s="5"/>
      <c r="D88" s="5"/>
      <c r="E88" s="5"/>
      <c r="F88" s="5"/>
      <c r="G88" s="5"/>
      <c r="H88" s="5"/>
      <c r="I88" s="5"/>
      <c r="J88" s="5"/>
      <c r="K88" s="5"/>
    </row>
    <row r="89" ht="30.0" customHeight="1">
      <c r="C89" s="5"/>
      <c r="D89" s="5"/>
      <c r="E89" s="5"/>
      <c r="F89" s="5"/>
      <c r="G89" s="5"/>
      <c r="H89" s="5"/>
      <c r="I89" s="5"/>
      <c r="J89" s="5"/>
      <c r="K89" s="5"/>
    </row>
    <row r="90" ht="30.0" customHeight="1">
      <c r="C90" s="5"/>
      <c r="D90" s="5"/>
      <c r="E90" s="5"/>
      <c r="F90" s="5"/>
      <c r="G90" s="5"/>
      <c r="H90" s="5"/>
      <c r="I90" s="5"/>
      <c r="J90" s="5"/>
      <c r="K90" s="5"/>
    </row>
    <row r="91" ht="30.0" customHeight="1">
      <c r="C91" s="5"/>
      <c r="D91" s="5"/>
      <c r="E91" s="5"/>
      <c r="F91" s="5"/>
      <c r="G91" s="5"/>
      <c r="H91" s="5"/>
      <c r="I91" s="5"/>
      <c r="J91" s="5"/>
      <c r="K91" s="5"/>
    </row>
    <row r="92" ht="30.0" customHeight="1">
      <c r="C92" s="5"/>
      <c r="D92" s="5"/>
      <c r="E92" s="5"/>
      <c r="F92" s="5"/>
      <c r="G92" s="5"/>
      <c r="H92" s="5"/>
      <c r="I92" s="5"/>
      <c r="J92" s="5"/>
      <c r="K92" s="5"/>
    </row>
    <row r="93" ht="30.0" customHeight="1">
      <c r="C93" s="5"/>
      <c r="D93" s="5"/>
      <c r="E93" s="5"/>
      <c r="F93" s="5"/>
      <c r="G93" s="5"/>
      <c r="H93" s="5"/>
      <c r="I93" s="5"/>
      <c r="J93" s="5"/>
      <c r="K93" s="5"/>
    </row>
    <row r="94" ht="30.0" customHeight="1">
      <c r="C94" s="5"/>
      <c r="D94" s="5"/>
      <c r="E94" s="5"/>
      <c r="F94" s="5"/>
      <c r="G94" s="5"/>
      <c r="H94" s="5"/>
      <c r="I94" s="5"/>
      <c r="J94" s="5"/>
      <c r="K94" s="5"/>
    </row>
    <row r="95" ht="30.0" customHeight="1">
      <c r="C95" s="5"/>
      <c r="D95" s="5"/>
      <c r="E95" s="5"/>
      <c r="F95" s="5"/>
      <c r="G95" s="5"/>
      <c r="H95" s="5"/>
      <c r="I95" s="5"/>
      <c r="J95" s="5"/>
      <c r="K95" s="5"/>
    </row>
    <row r="96" ht="30.0" customHeight="1">
      <c r="C96" s="5"/>
      <c r="D96" s="5"/>
      <c r="E96" s="5"/>
      <c r="F96" s="5"/>
      <c r="G96" s="5"/>
      <c r="H96" s="5"/>
      <c r="I96" s="5"/>
      <c r="J96" s="5"/>
      <c r="K96" s="5"/>
    </row>
    <row r="97" ht="30.0" customHeight="1">
      <c r="C97" s="5"/>
      <c r="D97" s="5"/>
      <c r="E97" s="5"/>
      <c r="F97" s="5"/>
      <c r="G97" s="5"/>
      <c r="H97" s="5"/>
      <c r="I97" s="5"/>
      <c r="J97" s="5"/>
      <c r="K97" s="5"/>
    </row>
    <row r="98" ht="30.0" customHeight="1">
      <c r="C98" s="5"/>
      <c r="D98" s="5"/>
      <c r="E98" s="5"/>
      <c r="F98" s="5"/>
      <c r="G98" s="5"/>
      <c r="H98" s="5"/>
      <c r="I98" s="5"/>
      <c r="J98" s="5"/>
      <c r="K98" s="5"/>
    </row>
    <row r="99" ht="30.0" customHeight="1">
      <c r="C99" s="5"/>
      <c r="D99" s="5"/>
      <c r="E99" s="5"/>
      <c r="F99" s="5"/>
      <c r="G99" s="5"/>
      <c r="H99" s="5"/>
      <c r="I99" s="5"/>
      <c r="J99" s="5"/>
      <c r="K99" s="5"/>
    </row>
    <row r="100" ht="30.0" customHeight="1">
      <c r="C100" s="5"/>
      <c r="D100" s="5"/>
      <c r="E100" s="5"/>
      <c r="F100" s="5"/>
      <c r="G100" s="5"/>
      <c r="H100" s="5"/>
      <c r="I100" s="5"/>
      <c r="J100" s="5"/>
      <c r="K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